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evenue &amp; gross margin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&quot;$&quot;#,##0;(&quot;$&quot;#,##0)"/>
    <numFmt numFmtId="166" formatCode="0.0%"/>
    <numFmt numFmtId="167" formatCode="&quot;$&quot;#,##0.000;(&quot;$&quot;#,##0.000)"/>
    <numFmt numFmtId="168" formatCode="#,##0.###;(#,##0.###)"/>
    <numFmt numFmtId="169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5" fontId="3" fillId="0" borderId="0" xfId="0" applyNumberFormat="1" applyFont="1" applyAlignment="1">
      <alignment vertical="center" horizontal="right"/>
    </xf>
    <xf numFmtId="0" fontId="0" fillId="0" borderId="0" xfId="0" applyAlignment="1">
      <alignment vertical="center" horizontal="left" indent="1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14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Revenue &amp; gross margin</t>
        </is>
      </c>
    </row>
    <row r="2" ht="20" customHeight="1">
      <c r="A2" t="inlineStr" s="2">
        <is>
          <t xml:space="preserve">Revenue &amp; Margin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Months since launch</t>
        </is>
      </c>
      <c r="B5" s="7">
        <f>IF(IF(IF(ISERROR(DATE(2026,10,1)&lt;DATE(YEAR('Model inputs'!B8),MONTH('Model inputs'!B8),1)),DATE(2026,10,1)&lt;DATE(YEAR('Model inputs'!B8),MONTH('Model inputs'!B8),1),IF(DATE(YEAR('Model inputs'!B8),MONTH('Model inputs'!B8),1)="","",DATE(2026,10,1)&lt;DATE(YEAR('Model inputs'!B8),MONTH('Model inputs'!B8),1)))="",FALSE,IF(ISERROR(DATE(2026,10,1)&lt;DATE(YEAR('Model inputs'!B8),MONTH('Model inputs'!B8),1)),DATE(2026,10,1)&lt;DATE(YEAR('Model inputs'!B8),MONTH('Model inputs'!B8),1),IF(DATE(YEAR('Model inputs'!B8),MONTH('Model inputs'!B8),1)="","",DATE(2026,10,1)&lt;DATE(YEAR('Model inputs'!B8),MONTH('Model inputs'!B8),1)))),0,IFERROR(DATEDIF(DATE(YEAR('Model inputs'!B8),MONTH('Model inputs'!B8),1),DATE(2026,10,1),"M"),0)+1)</f>
        <v>0</v>
      </c>
      <c r="C5" s="7">
        <f>IF(IF(IF(ISERROR(DATE(2026,11,1)&lt;DATE(YEAR('Model inputs'!B8),MONTH('Model inputs'!B8),1)),DATE(2026,11,1)&lt;DATE(YEAR('Model inputs'!B8),MONTH('Model inputs'!B8),1),IF(DATE(YEAR('Model inputs'!B8),MONTH('Model inputs'!B8),1)="","",DATE(2026,11,1)&lt;DATE(YEAR('Model inputs'!B8),MONTH('Model inputs'!B8),1)))="",FALSE,IF(ISERROR(DATE(2026,11,1)&lt;DATE(YEAR('Model inputs'!B8),MONTH('Model inputs'!B8),1)),DATE(2026,11,1)&lt;DATE(YEAR('Model inputs'!B8),MONTH('Model inputs'!B8),1),IF(DATE(YEAR('Model inputs'!B8),MONTH('Model inputs'!B8),1)="","",DATE(2026,11,1)&lt;DATE(YEAR('Model inputs'!B8),MONTH('Model inputs'!B8),1)))),0,IFERROR(DATEDIF(DATE(YEAR('Model inputs'!B8),MONTH('Model inputs'!B8),1),DATE(2026,11,1),"M"),0)+1)</f>
        <v>1</v>
      </c>
      <c r="D5" s="7">
        <f>IF(IF(IF(ISERROR(DATE(2026,12,1)&lt;DATE(YEAR('Model inputs'!B8),MONTH('Model inputs'!B8),1)),DATE(2026,12,1)&lt;DATE(YEAR('Model inputs'!B8),MONTH('Model inputs'!B8),1),IF(DATE(YEAR('Model inputs'!B8),MONTH('Model inputs'!B8),1)="","",DATE(2026,12,1)&lt;DATE(YEAR('Model inputs'!B8),MONTH('Model inputs'!B8),1)))="",FALSE,IF(ISERROR(DATE(2026,12,1)&lt;DATE(YEAR('Model inputs'!B8),MONTH('Model inputs'!B8),1)),DATE(2026,12,1)&lt;DATE(YEAR('Model inputs'!B8),MONTH('Model inputs'!B8),1),IF(DATE(YEAR('Model inputs'!B8),MONTH('Model inputs'!B8),1)="","",DATE(2026,12,1)&lt;DATE(YEAR('Model inputs'!B8),MONTH('Model inputs'!B8),1)))),0,IFERROR(DATEDIF(DATE(YEAR('Model inputs'!B8),MONTH('Model inputs'!B8),1),DATE(2026,12,1),"M"),0)+1)</f>
        <v>2</v>
      </c>
      <c r="E5" s="7">
        <f>IF(IF(IF(ISERROR(DATE(2027,1,1)&lt;DATE(YEAR('Model inputs'!B8),MONTH('Model inputs'!B8),1)),DATE(2027,1,1)&lt;DATE(YEAR('Model inputs'!B8),MONTH('Model inputs'!B8),1),IF(DATE(YEAR('Model inputs'!B8),MONTH('Model inputs'!B8),1)="","",DATE(2027,1,1)&lt;DATE(YEAR('Model inputs'!B8),MONTH('Model inputs'!B8),1)))="",FALSE,IF(ISERROR(DATE(2027,1,1)&lt;DATE(YEAR('Model inputs'!B8),MONTH('Model inputs'!B8),1)),DATE(2027,1,1)&lt;DATE(YEAR('Model inputs'!B8),MONTH('Model inputs'!B8),1),IF(DATE(YEAR('Model inputs'!B8),MONTH('Model inputs'!B8),1)="","",DATE(2027,1,1)&lt;DATE(YEAR('Model inputs'!B8),MONTH('Model inputs'!B8),1)))),0,IFERROR(DATEDIF(DATE(YEAR('Model inputs'!B8),MONTH('Model inputs'!B8),1),DATE(2027,1,1),"M"),0)+1)</f>
        <v>3</v>
      </c>
      <c r="F5" s="7">
        <f>IF(IF(IF(ISERROR(DATE(2027,2,1)&lt;DATE(YEAR('Model inputs'!B8),MONTH('Model inputs'!B8),1)),DATE(2027,2,1)&lt;DATE(YEAR('Model inputs'!B8),MONTH('Model inputs'!B8),1),IF(DATE(YEAR('Model inputs'!B8),MONTH('Model inputs'!B8),1)="","",DATE(2027,2,1)&lt;DATE(YEAR('Model inputs'!B8),MONTH('Model inputs'!B8),1)))="",FALSE,IF(ISERROR(DATE(2027,2,1)&lt;DATE(YEAR('Model inputs'!B8),MONTH('Model inputs'!B8),1)),DATE(2027,2,1)&lt;DATE(YEAR('Model inputs'!B8),MONTH('Model inputs'!B8),1),IF(DATE(YEAR('Model inputs'!B8),MONTH('Model inputs'!B8),1)="","",DATE(2027,2,1)&lt;DATE(YEAR('Model inputs'!B8),MONTH('Model inputs'!B8),1)))),0,IFERROR(DATEDIF(DATE(YEAR('Model inputs'!B8),MONTH('Model inputs'!B8),1),DATE(2027,2,1),"M"),0)+1)</f>
        <v>4</v>
      </c>
      <c r="G5" s="7">
        <f>IF(IF(IF(ISERROR(DATE(2027,3,1)&lt;DATE(YEAR('Model inputs'!B8),MONTH('Model inputs'!B8),1)),DATE(2027,3,1)&lt;DATE(YEAR('Model inputs'!B8),MONTH('Model inputs'!B8),1),IF(DATE(YEAR('Model inputs'!B8),MONTH('Model inputs'!B8),1)="","",DATE(2027,3,1)&lt;DATE(YEAR('Model inputs'!B8),MONTH('Model inputs'!B8),1)))="",FALSE,IF(ISERROR(DATE(2027,3,1)&lt;DATE(YEAR('Model inputs'!B8),MONTH('Model inputs'!B8),1)),DATE(2027,3,1)&lt;DATE(YEAR('Model inputs'!B8),MONTH('Model inputs'!B8),1),IF(DATE(YEAR('Model inputs'!B8),MONTH('Model inputs'!B8),1)="","",DATE(2027,3,1)&lt;DATE(YEAR('Model inputs'!B8),MONTH('Model inputs'!B8),1)))),0,IFERROR(DATEDIF(DATE(YEAR('Model inputs'!B8),MONTH('Model inputs'!B8),1),DATE(2027,3,1),"M"),0)+1)</f>
        <v>5</v>
      </c>
      <c r="H5" s="7">
        <f>IF(IF(IF(ISERROR(DATE(2027,4,1)&lt;DATE(YEAR('Model inputs'!B8),MONTH('Model inputs'!B8),1)),DATE(2027,4,1)&lt;DATE(YEAR('Model inputs'!B8),MONTH('Model inputs'!B8),1),IF(DATE(YEAR('Model inputs'!B8),MONTH('Model inputs'!B8),1)="","",DATE(2027,4,1)&lt;DATE(YEAR('Model inputs'!B8),MONTH('Model inputs'!B8),1)))="",FALSE,IF(ISERROR(DATE(2027,4,1)&lt;DATE(YEAR('Model inputs'!B8),MONTH('Model inputs'!B8),1)),DATE(2027,4,1)&lt;DATE(YEAR('Model inputs'!B8),MONTH('Model inputs'!B8),1),IF(DATE(YEAR('Model inputs'!B8),MONTH('Model inputs'!B8),1)="","",DATE(2027,4,1)&lt;DATE(YEAR('Model inputs'!B8),MONTH('Model inputs'!B8),1)))),0,IFERROR(DATEDIF(DATE(YEAR('Model inputs'!B8),MONTH('Model inputs'!B8),1),DATE(2027,4,1),"M"),0)+1)</f>
        <v>6</v>
      </c>
      <c r="I5" s="7">
        <f>IF(IF(IF(ISERROR(DATE(2027,5,1)&lt;DATE(YEAR('Model inputs'!B8),MONTH('Model inputs'!B8),1)),DATE(2027,5,1)&lt;DATE(YEAR('Model inputs'!B8),MONTH('Model inputs'!B8),1),IF(DATE(YEAR('Model inputs'!B8),MONTH('Model inputs'!B8),1)="","",DATE(2027,5,1)&lt;DATE(YEAR('Model inputs'!B8),MONTH('Model inputs'!B8),1)))="",FALSE,IF(ISERROR(DATE(2027,5,1)&lt;DATE(YEAR('Model inputs'!B8),MONTH('Model inputs'!B8),1)),DATE(2027,5,1)&lt;DATE(YEAR('Model inputs'!B8),MONTH('Model inputs'!B8),1),IF(DATE(YEAR('Model inputs'!B8),MONTH('Model inputs'!B8),1)="","",DATE(2027,5,1)&lt;DATE(YEAR('Model inputs'!B8),MONTH('Model inputs'!B8),1)))),0,IFERROR(DATEDIF(DATE(YEAR('Model inputs'!B8),MONTH('Model inputs'!B8),1),DATE(2027,5,1),"M"),0)+1)</f>
        <v>7</v>
      </c>
      <c r="J5" s="7">
        <f>IF(IF(IF(ISERROR(DATE(2027,6,1)&lt;DATE(YEAR('Model inputs'!B8),MONTH('Model inputs'!B8),1)),DATE(2027,6,1)&lt;DATE(YEAR('Model inputs'!B8),MONTH('Model inputs'!B8),1),IF(DATE(YEAR('Model inputs'!B8),MONTH('Model inputs'!B8),1)="","",DATE(2027,6,1)&lt;DATE(YEAR('Model inputs'!B8),MONTH('Model inputs'!B8),1)))="",FALSE,IF(ISERROR(DATE(2027,6,1)&lt;DATE(YEAR('Model inputs'!B8),MONTH('Model inputs'!B8),1)),DATE(2027,6,1)&lt;DATE(YEAR('Model inputs'!B8),MONTH('Model inputs'!B8),1),IF(DATE(YEAR('Model inputs'!B8),MONTH('Model inputs'!B8),1)="","",DATE(2027,6,1)&lt;DATE(YEAR('Model inputs'!B8),MONTH('Model inputs'!B8),1)))),0,IFERROR(DATEDIF(DATE(YEAR('Model inputs'!B8),MONTH('Model inputs'!B8),1),DATE(2027,6,1),"M"),0)+1)</f>
        <v>8</v>
      </c>
      <c r="K5" s="7">
        <f>IF(IF(IF(ISERROR(DATE(2027,7,1)&lt;DATE(YEAR('Model inputs'!B8),MONTH('Model inputs'!B8),1)),DATE(2027,7,1)&lt;DATE(YEAR('Model inputs'!B8),MONTH('Model inputs'!B8),1),IF(DATE(YEAR('Model inputs'!B8),MONTH('Model inputs'!B8),1)="","",DATE(2027,7,1)&lt;DATE(YEAR('Model inputs'!B8),MONTH('Model inputs'!B8),1)))="",FALSE,IF(ISERROR(DATE(2027,7,1)&lt;DATE(YEAR('Model inputs'!B8),MONTH('Model inputs'!B8),1)),DATE(2027,7,1)&lt;DATE(YEAR('Model inputs'!B8),MONTH('Model inputs'!B8),1),IF(DATE(YEAR('Model inputs'!B8),MONTH('Model inputs'!B8),1)="","",DATE(2027,7,1)&lt;DATE(YEAR('Model inputs'!B8),MONTH('Model inputs'!B8),1)))),0,IFERROR(DATEDIF(DATE(YEAR('Model inputs'!B8),MONTH('Model inputs'!B8),1),DATE(2027,7,1),"M"),0)+1)</f>
        <v>9</v>
      </c>
      <c r="L5" s="7">
        <f>IF(IF(IF(ISERROR(DATE(2027,8,1)&lt;DATE(YEAR('Model inputs'!B8),MONTH('Model inputs'!B8),1)),DATE(2027,8,1)&lt;DATE(YEAR('Model inputs'!B8),MONTH('Model inputs'!B8),1),IF(DATE(YEAR('Model inputs'!B8),MONTH('Model inputs'!B8),1)="","",DATE(2027,8,1)&lt;DATE(YEAR('Model inputs'!B8),MONTH('Model inputs'!B8),1)))="",FALSE,IF(ISERROR(DATE(2027,8,1)&lt;DATE(YEAR('Model inputs'!B8),MONTH('Model inputs'!B8),1)),DATE(2027,8,1)&lt;DATE(YEAR('Model inputs'!B8),MONTH('Model inputs'!B8),1),IF(DATE(YEAR('Model inputs'!B8),MONTH('Model inputs'!B8),1)="","",DATE(2027,8,1)&lt;DATE(YEAR('Model inputs'!B8),MONTH('Model inputs'!B8),1)))),0,IFERROR(DATEDIF(DATE(YEAR('Model inputs'!B8),MONTH('Model inputs'!B8),1),DATE(2027,8,1),"M"),0)+1)</f>
        <v>10</v>
      </c>
      <c r="M5" s="7">
        <f>IF(IF(IF(ISERROR(DATE(2027,9,1)&lt;DATE(YEAR('Model inputs'!B8),MONTH('Model inputs'!B8),1)),DATE(2027,9,1)&lt;DATE(YEAR('Model inputs'!B8),MONTH('Model inputs'!B8),1),IF(DATE(YEAR('Model inputs'!B8),MONTH('Model inputs'!B8),1)="","",DATE(2027,9,1)&lt;DATE(YEAR('Model inputs'!B8),MONTH('Model inputs'!B8),1)))="",FALSE,IF(ISERROR(DATE(2027,9,1)&lt;DATE(YEAR('Model inputs'!B8),MONTH('Model inputs'!B8),1)),DATE(2027,9,1)&lt;DATE(YEAR('Model inputs'!B8),MONTH('Model inputs'!B8),1),IF(DATE(YEAR('Model inputs'!B8),MONTH('Model inputs'!B8),1)="","",DATE(2027,9,1)&lt;DATE(YEAR('Model inputs'!B8),MONTH('Model inputs'!B8),1)))),0,IFERROR(DATEDIF(DATE(YEAR('Model inputs'!B8),MONTH('Model inputs'!B8),1),DATE(2027,9,1),"M"),0)+1)</f>
        <v>11</v>
      </c>
      <c r="N5" s="7">
        <f>IF(IF(IF(ISERROR(DATE(2027,10,1)&lt;DATE(YEAR('Model inputs'!B8),MONTH('Model inputs'!B8),1)),DATE(2027,10,1)&lt;DATE(YEAR('Model inputs'!B8),MONTH('Model inputs'!B8),1),IF(DATE(YEAR('Model inputs'!B8),MONTH('Model inputs'!B8),1)="","",DATE(2027,10,1)&lt;DATE(YEAR('Model inputs'!B8),MONTH('Model inputs'!B8),1)))="",FALSE,IF(ISERROR(DATE(2027,10,1)&lt;DATE(YEAR('Model inputs'!B8),MONTH('Model inputs'!B8),1)),DATE(2027,10,1)&lt;DATE(YEAR('Model inputs'!B8),MONTH('Model inputs'!B8),1),IF(DATE(YEAR('Model inputs'!B8),MONTH('Model inputs'!B8),1)="","",DATE(2027,10,1)&lt;DATE(YEAR('Model inputs'!B8),MONTH('Model inputs'!B8),1)))),0,IFERROR(DATEDIF(DATE(YEAR('Model inputs'!B8),MONTH('Model inputs'!B8),1),DATE(2027,10,1),"M"),0)+1)</f>
        <v>12</v>
      </c>
      <c r="O5" s="7">
        <f>IF(IF(IF(ISERROR(DATE(2027,11,1)&lt;DATE(YEAR('Model inputs'!B8),MONTH('Model inputs'!B8),1)),DATE(2027,11,1)&lt;DATE(YEAR('Model inputs'!B8),MONTH('Model inputs'!B8),1),IF(DATE(YEAR('Model inputs'!B8),MONTH('Model inputs'!B8),1)="","",DATE(2027,11,1)&lt;DATE(YEAR('Model inputs'!B8),MONTH('Model inputs'!B8),1)))="",FALSE,IF(ISERROR(DATE(2027,11,1)&lt;DATE(YEAR('Model inputs'!B8),MONTH('Model inputs'!B8),1)),DATE(2027,11,1)&lt;DATE(YEAR('Model inputs'!B8),MONTH('Model inputs'!B8),1),IF(DATE(YEAR('Model inputs'!B8),MONTH('Model inputs'!B8),1)="","",DATE(2027,11,1)&lt;DATE(YEAR('Model inputs'!B8),MONTH('Model inputs'!B8),1)))),0,IFERROR(DATEDIF(DATE(YEAR('Model inputs'!B8),MONTH('Model inputs'!B8),1),DATE(2027,11,1),"M"),0)+1)</f>
        <v>13</v>
      </c>
      <c r="P5" s="7">
        <f>IF(IF(IF(ISERROR(DATE(2027,12,1)&lt;DATE(YEAR('Model inputs'!B8),MONTH('Model inputs'!B8),1)),DATE(2027,12,1)&lt;DATE(YEAR('Model inputs'!B8),MONTH('Model inputs'!B8),1),IF(DATE(YEAR('Model inputs'!B8),MONTH('Model inputs'!B8),1)="","",DATE(2027,12,1)&lt;DATE(YEAR('Model inputs'!B8),MONTH('Model inputs'!B8),1)))="",FALSE,IF(ISERROR(DATE(2027,12,1)&lt;DATE(YEAR('Model inputs'!B8),MONTH('Model inputs'!B8),1)),DATE(2027,12,1)&lt;DATE(YEAR('Model inputs'!B8),MONTH('Model inputs'!B8),1),IF(DATE(YEAR('Model inputs'!B8),MONTH('Model inputs'!B8),1)="","",DATE(2027,12,1)&lt;DATE(YEAR('Model inputs'!B8),MONTH('Model inputs'!B8),1)))),0,IFERROR(DATEDIF(DATE(YEAR('Model inputs'!B8),MONTH('Model inputs'!B8),1),DATE(2027,12,1),"M"),0)+1)</f>
        <v>14</v>
      </c>
      <c r="Q5" s="7">
        <f>IF(IF(IF(ISERROR(DATE(2028,1,1)&lt;DATE(YEAR('Model inputs'!B8),MONTH('Model inputs'!B8),1)),DATE(2028,1,1)&lt;DATE(YEAR('Model inputs'!B8),MONTH('Model inputs'!B8),1),IF(DATE(YEAR('Model inputs'!B8),MONTH('Model inputs'!B8),1)="","",DATE(2028,1,1)&lt;DATE(YEAR('Model inputs'!B8),MONTH('Model inputs'!B8),1)))="",FALSE,IF(ISERROR(DATE(2028,1,1)&lt;DATE(YEAR('Model inputs'!B8),MONTH('Model inputs'!B8),1)),DATE(2028,1,1)&lt;DATE(YEAR('Model inputs'!B8),MONTH('Model inputs'!B8),1),IF(DATE(YEAR('Model inputs'!B8),MONTH('Model inputs'!B8),1)="","",DATE(2028,1,1)&lt;DATE(YEAR('Model inputs'!B8),MONTH('Model inputs'!B8),1)))),0,IFERROR(DATEDIF(DATE(YEAR('Model inputs'!B8),MONTH('Model inputs'!B8),1),DATE(2028,1,1),"M"),0)+1)</f>
        <v>15</v>
      </c>
      <c r="R5" s="7">
        <f>IF(IF(IF(ISERROR(DATE(2028,2,1)&lt;DATE(YEAR('Model inputs'!B8),MONTH('Model inputs'!B8),1)),DATE(2028,2,1)&lt;DATE(YEAR('Model inputs'!B8),MONTH('Model inputs'!B8),1),IF(DATE(YEAR('Model inputs'!B8),MONTH('Model inputs'!B8),1)="","",DATE(2028,2,1)&lt;DATE(YEAR('Model inputs'!B8),MONTH('Model inputs'!B8),1)))="",FALSE,IF(ISERROR(DATE(2028,2,1)&lt;DATE(YEAR('Model inputs'!B8),MONTH('Model inputs'!B8),1)),DATE(2028,2,1)&lt;DATE(YEAR('Model inputs'!B8),MONTH('Model inputs'!B8),1),IF(DATE(YEAR('Model inputs'!B8),MONTH('Model inputs'!B8),1)="","",DATE(2028,2,1)&lt;DATE(YEAR('Model inputs'!B8),MONTH('Model inputs'!B8),1)))),0,IFERROR(DATEDIF(DATE(YEAR('Model inputs'!B8),MONTH('Model inputs'!B8),1),DATE(2028,2,1),"M"),0)+1)</f>
        <v>16</v>
      </c>
      <c r="S5" s="7">
        <f>IF(IF(IF(ISERROR(DATE(2028,3,1)&lt;DATE(YEAR('Model inputs'!B8),MONTH('Model inputs'!B8),1)),DATE(2028,3,1)&lt;DATE(YEAR('Model inputs'!B8),MONTH('Model inputs'!B8),1),IF(DATE(YEAR('Model inputs'!B8),MONTH('Model inputs'!B8),1)="","",DATE(2028,3,1)&lt;DATE(YEAR('Model inputs'!B8),MONTH('Model inputs'!B8),1)))="",FALSE,IF(ISERROR(DATE(2028,3,1)&lt;DATE(YEAR('Model inputs'!B8),MONTH('Model inputs'!B8),1)),DATE(2028,3,1)&lt;DATE(YEAR('Model inputs'!B8),MONTH('Model inputs'!B8),1),IF(DATE(YEAR('Model inputs'!B8),MONTH('Model inputs'!B8),1)="","",DATE(2028,3,1)&lt;DATE(YEAR('Model inputs'!B8),MONTH('Model inputs'!B8),1)))),0,IFERROR(DATEDIF(DATE(YEAR('Model inputs'!B8),MONTH('Model inputs'!B8),1),DATE(2028,3,1),"M"),0)+1)</f>
        <v>17</v>
      </c>
      <c r="T5" s="7">
        <f>IF(IF(IF(ISERROR(DATE(2028,4,1)&lt;DATE(YEAR('Model inputs'!B8),MONTH('Model inputs'!B8),1)),DATE(2028,4,1)&lt;DATE(YEAR('Model inputs'!B8),MONTH('Model inputs'!B8),1),IF(DATE(YEAR('Model inputs'!B8),MONTH('Model inputs'!B8),1)="","",DATE(2028,4,1)&lt;DATE(YEAR('Model inputs'!B8),MONTH('Model inputs'!B8),1)))="",FALSE,IF(ISERROR(DATE(2028,4,1)&lt;DATE(YEAR('Model inputs'!B8),MONTH('Model inputs'!B8),1)),DATE(2028,4,1)&lt;DATE(YEAR('Model inputs'!B8),MONTH('Model inputs'!B8),1),IF(DATE(YEAR('Model inputs'!B8),MONTH('Model inputs'!B8),1)="","",DATE(2028,4,1)&lt;DATE(YEAR('Model inputs'!B8),MONTH('Model inputs'!B8),1)))),0,IFERROR(DATEDIF(DATE(YEAR('Model inputs'!B8),MONTH('Model inputs'!B8),1),DATE(2028,4,1),"M"),0)+1)</f>
        <v>18</v>
      </c>
      <c r="U5" s="7">
        <f>IF(IF(IF(ISERROR(DATE(2028,5,1)&lt;DATE(YEAR('Model inputs'!B8),MONTH('Model inputs'!B8),1)),DATE(2028,5,1)&lt;DATE(YEAR('Model inputs'!B8),MONTH('Model inputs'!B8),1),IF(DATE(YEAR('Model inputs'!B8),MONTH('Model inputs'!B8),1)="","",DATE(2028,5,1)&lt;DATE(YEAR('Model inputs'!B8),MONTH('Model inputs'!B8),1)))="",FALSE,IF(ISERROR(DATE(2028,5,1)&lt;DATE(YEAR('Model inputs'!B8),MONTH('Model inputs'!B8),1)),DATE(2028,5,1)&lt;DATE(YEAR('Model inputs'!B8),MONTH('Model inputs'!B8),1),IF(DATE(YEAR('Model inputs'!B8),MONTH('Model inputs'!B8),1)="","",DATE(2028,5,1)&lt;DATE(YEAR('Model inputs'!B8),MONTH('Model inputs'!B8),1)))),0,IFERROR(DATEDIF(DATE(YEAR('Model inputs'!B8),MONTH('Model inputs'!B8),1),DATE(2028,5,1),"M"),0)+1)</f>
        <v>19</v>
      </c>
      <c r="V5" s="7">
        <f>IF(IF(IF(ISERROR(DATE(2028,6,1)&lt;DATE(YEAR('Model inputs'!B8),MONTH('Model inputs'!B8),1)),DATE(2028,6,1)&lt;DATE(YEAR('Model inputs'!B8),MONTH('Model inputs'!B8),1),IF(DATE(YEAR('Model inputs'!B8),MONTH('Model inputs'!B8),1)="","",DATE(2028,6,1)&lt;DATE(YEAR('Model inputs'!B8),MONTH('Model inputs'!B8),1)))="",FALSE,IF(ISERROR(DATE(2028,6,1)&lt;DATE(YEAR('Model inputs'!B8),MONTH('Model inputs'!B8),1)),DATE(2028,6,1)&lt;DATE(YEAR('Model inputs'!B8),MONTH('Model inputs'!B8),1),IF(DATE(YEAR('Model inputs'!B8),MONTH('Model inputs'!B8),1)="","",DATE(2028,6,1)&lt;DATE(YEAR('Model inputs'!B8),MONTH('Model inputs'!B8),1)))),0,IFERROR(DATEDIF(DATE(YEAR('Model inputs'!B8),MONTH('Model inputs'!B8),1),DATE(2028,6,1),"M"),0)+1)</f>
        <v>20</v>
      </c>
      <c r="W5" s="7">
        <f>IF(IF(IF(ISERROR(DATE(2028,7,1)&lt;DATE(YEAR('Model inputs'!B8),MONTH('Model inputs'!B8),1)),DATE(2028,7,1)&lt;DATE(YEAR('Model inputs'!B8),MONTH('Model inputs'!B8),1),IF(DATE(YEAR('Model inputs'!B8),MONTH('Model inputs'!B8),1)="","",DATE(2028,7,1)&lt;DATE(YEAR('Model inputs'!B8),MONTH('Model inputs'!B8),1)))="",FALSE,IF(ISERROR(DATE(2028,7,1)&lt;DATE(YEAR('Model inputs'!B8),MONTH('Model inputs'!B8),1)),DATE(2028,7,1)&lt;DATE(YEAR('Model inputs'!B8),MONTH('Model inputs'!B8),1),IF(DATE(YEAR('Model inputs'!B8),MONTH('Model inputs'!B8),1)="","",DATE(2028,7,1)&lt;DATE(YEAR('Model inputs'!B8),MONTH('Model inputs'!B8),1)))),0,IFERROR(DATEDIF(DATE(YEAR('Model inputs'!B8),MONTH('Model inputs'!B8),1),DATE(2028,7,1),"M"),0)+1)</f>
        <v>21</v>
      </c>
      <c r="X5" s="7">
        <f>IF(IF(IF(ISERROR(DATE(2028,8,1)&lt;DATE(YEAR('Model inputs'!B8),MONTH('Model inputs'!B8),1)),DATE(2028,8,1)&lt;DATE(YEAR('Model inputs'!B8),MONTH('Model inputs'!B8),1),IF(DATE(YEAR('Model inputs'!B8),MONTH('Model inputs'!B8),1)="","",DATE(2028,8,1)&lt;DATE(YEAR('Model inputs'!B8),MONTH('Model inputs'!B8),1)))="",FALSE,IF(ISERROR(DATE(2028,8,1)&lt;DATE(YEAR('Model inputs'!B8),MONTH('Model inputs'!B8),1)),DATE(2028,8,1)&lt;DATE(YEAR('Model inputs'!B8),MONTH('Model inputs'!B8),1),IF(DATE(YEAR('Model inputs'!B8),MONTH('Model inputs'!B8),1)="","",DATE(2028,8,1)&lt;DATE(YEAR('Model inputs'!B8),MONTH('Model inputs'!B8),1)))),0,IFERROR(DATEDIF(DATE(YEAR('Model inputs'!B8),MONTH('Model inputs'!B8),1),DATE(2028,8,1),"M"),0)+1)</f>
        <v>22</v>
      </c>
      <c r="Y5" s="7">
        <f>IF(IF(IF(ISERROR(DATE(2028,9,1)&lt;DATE(YEAR('Model inputs'!B8),MONTH('Model inputs'!B8),1)),DATE(2028,9,1)&lt;DATE(YEAR('Model inputs'!B8),MONTH('Model inputs'!B8),1),IF(DATE(YEAR('Model inputs'!B8),MONTH('Model inputs'!B8),1)="","",DATE(2028,9,1)&lt;DATE(YEAR('Model inputs'!B8),MONTH('Model inputs'!B8),1)))="",FALSE,IF(ISERROR(DATE(2028,9,1)&lt;DATE(YEAR('Model inputs'!B8),MONTH('Model inputs'!B8),1)),DATE(2028,9,1)&lt;DATE(YEAR('Model inputs'!B8),MONTH('Model inputs'!B8),1),IF(DATE(YEAR('Model inputs'!B8),MONTH('Model inputs'!B8),1)="","",DATE(2028,9,1)&lt;DATE(YEAR('Model inputs'!B8),MONTH('Model inputs'!B8),1)))),0,IFERROR(DATEDIF(DATE(YEAR('Model inputs'!B8),MONTH('Model inputs'!B8),1),DATE(2028,9,1),"M"),0)+1)</f>
        <v>23</v>
      </c>
    </row>
    <row r="6">
      <c r="A6" t="inlineStr" s="8">
        <is>
          <t xml:space="preserve">Jobs attempted</t>
        </is>
      </c>
      <c r="B6" s="9">
        <f>IF(IF(IF(ISERROR('Revenue &amp; gross margin'!B5&lt;1),'Revenue &amp; gross margin'!B5&lt;1,IF('Revenue &amp; gross margin'!B5="","",'Revenue &amp; gross margin'!B5&lt;1))="",FALSE,IF(ISERROR('Revenue &amp; gross margin'!B5&lt;1),'Revenue &amp; gross margin'!B5&lt;1,IF('Revenue &amp; gross margin'!B5="","",'Revenue &amp; gross margin'!B5&lt;1))),0,'Model inputs'!B9*IF(AND((1+'Model inputs'!B10)=0,(MIN('Revenue &amp; gross margin'!B5,'Model inputs'!B7)-1)=0),SQRT(-1),(1+'Model inputs'!B10)^(MIN('Revenue &amp; gross margin'!B5,'Model inputs'!B7)-1))*'Model inputs'!B14)</f>
        <v>0</v>
      </c>
      <c r="C6" s="9">
        <f>IF(IF(IF(ISERROR('Revenue &amp; gross margin'!C5&lt;1),'Revenue &amp; gross margin'!C5&lt;1,IF('Revenue &amp; gross margin'!C5="","",'Revenue &amp; gross margin'!C5&lt;1))="",FALSE,IF(ISERROR('Revenue &amp; gross margin'!C5&lt;1),'Revenue &amp; gross margin'!C5&lt;1,IF('Revenue &amp; gross margin'!C5="","",'Revenue &amp; gross margin'!C5&lt;1))),0,'Model inputs'!B9*IF(AND((1+'Model inputs'!B10)=0,(MIN('Revenue &amp; gross margin'!C5,'Model inputs'!B7)-1)=0),SQRT(-1),(1+'Model inputs'!B10)^(MIN('Revenue &amp; gross margin'!C5,'Model inputs'!B7)-1))*'Model inputs'!B14)</f>
        <v>1000</v>
      </c>
      <c r="D6" s="9">
        <f>IF(IF(IF(ISERROR('Revenue &amp; gross margin'!D5&lt;1),'Revenue &amp; gross margin'!D5&lt;1,IF('Revenue &amp; gross margin'!D5="","",'Revenue &amp; gross margin'!D5&lt;1))="",FALSE,IF(ISERROR('Revenue &amp; gross margin'!D5&lt;1),'Revenue &amp; gross margin'!D5&lt;1,IF('Revenue &amp; gross margin'!D5="","",'Revenue &amp; gross margin'!D5&lt;1))),0,'Model inputs'!B9*IF(AND((1+'Model inputs'!B10)=0,(MIN('Revenue &amp; gross margin'!D5,'Model inputs'!B7)-1)=0),SQRT(-1),(1+'Model inputs'!B10)^(MIN('Revenue &amp; gross margin'!D5,'Model inputs'!B7)-1))*'Model inputs'!B14)</f>
        <v>1000</v>
      </c>
      <c r="E6" s="9">
        <f>IF(IF(IF(ISERROR('Revenue &amp; gross margin'!E5&lt;1),'Revenue &amp; gross margin'!E5&lt;1,IF('Revenue &amp; gross margin'!E5="","",'Revenue &amp; gross margin'!E5&lt;1))="",FALSE,IF(ISERROR('Revenue &amp; gross margin'!E5&lt;1),'Revenue &amp; gross margin'!E5&lt;1,IF('Revenue &amp; gross margin'!E5="","",'Revenue &amp; gross margin'!E5&lt;1))),0,'Model inputs'!B9*IF(AND((1+'Model inputs'!B10)=0,(MIN('Revenue &amp; gross margin'!E5,'Model inputs'!B7)-1)=0),SQRT(-1),(1+'Model inputs'!B10)^(MIN('Revenue &amp; gross margin'!E5,'Model inputs'!B7)-1))*'Model inputs'!B14)</f>
        <v>1000</v>
      </c>
      <c r="F6" s="9">
        <f>IF(IF(IF(ISERROR('Revenue &amp; gross margin'!F5&lt;1),'Revenue &amp; gross margin'!F5&lt;1,IF('Revenue &amp; gross margin'!F5="","",'Revenue &amp; gross margin'!F5&lt;1))="",FALSE,IF(ISERROR('Revenue &amp; gross margin'!F5&lt;1),'Revenue &amp; gross margin'!F5&lt;1,IF('Revenue &amp; gross margin'!F5="","",'Revenue &amp; gross margin'!F5&lt;1))),0,'Model inputs'!B9*IF(AND((1+'Model inputs'!B10)=0,(MIN('Revenue &amp; gross margin'!F5,'Model inputs'!B7)-1)=0),SQRT(-1),(1+'Model inputs'!B10)^(MIN('Revenue &amp; gross margin'!F5,'Model inputs'!B7)-1))*'Model inputs'!B14)</f>
        <v>1000</v>
      </c>
      <c r="G6" s="9">
        <f>IF(IF(IF(ISERROR('Revenue &amp; gross margin'!G5&lt;1),'Revenue &amp; gross margin'!G5&lt;1,IF('Revenue &amp; gross margin'!G5="","",'Revenue &amp; gross margin'!G5&lt;1))="",FALSE,IF(ISERROR('Revenue &amp; gross margin'!G5&lt;1),'Revenue &amp; gross margin'!G5&lt;1,IF('Revenue &amp; gross margin'!G5="","",'Revenue &amp; gross margin'!G5&lt;1))),0,'Model inputs'!B9*IF(AND((1+'Model inputs'!B10)=0,(MIN('Revenue &amp; gross margin'!G5,'Model inputs'!B7)-1)=0),SQRT(-1),(1+'Model inputs'!B10)^(MIN('Revenue &amp; gross margin'!G5,'Model inputs'!B7)-1))*'Model inputs'!B14)</f>
        <v>1000</v>
      </c>
      <c r="H6" s="9">
        <f>IF(IF(IF(ISERROR('Revenue &amp; gross margin'!H5&lt;1),'Revenue &amp; gross margin'!H5&lt;1,IF('Revenue &amp; gross margin'!H5="","",'Revenue &amp; gross margin'!H5&lt;1))="",FALSE,IF(ISERROR('Revenue &amp; gross margin'!H5&lt;1),'Revenue &amp; gross margin'!H5&lt;1,IF('Revenue &amp; gross margin'!H5="","",'Revenue &amp; gross margin'!H5&lt;1))),0,'Model inputs'!B9*IF(AND((1+'Model inputs'!B10)=0,(MIN('Revenue &amp; gross margin'!H5,'Model inputs'!B7)-1)=0),SQRT(-1),(1+'Model inputs'!B10)^(MIN('Revenue &amp; gross margin'!H5,'Model inputs'!B7)-1))*'Model inputs'!B14)</f>
        <v>1000</v>
      </c>
      <c r="I6" s="9">
        <f>IF(IF(IF(ISERROR('Revenue &amp; gross margin'!I5&lt;1),'Revenue &amp; gross margin'!I5&lt;1,IF('Revenue &amp; gross margin'!I5="","",'Revenue &amp; gross margin'!I5&lt;1))="",FALSE,IF(ISERROR('Revenue &amp; gross margin'!I5&lt;1),'Revenue &amp; gross margin'!I5&lt;1,IF('Revenue &amp; gross margin'!I5="","",'Revenue &amp; gross margin'!I5&lt;1))),0,'Model inputs'!B9*IF(AND((1+'Model inputs'!B10)=0,(MIN('Revenue &amp; gross margin'!I5,'Model inputs'!B7)-1)=0),SQRT(-1),(1+'Model inputs'!B10)^(MIN('Revenue &amp; gross margin'!I5,'Model inputs'!B7)-1))*'Model inputs'!B14)</f>
        <v>1000</v>
      </c>
      <c r="J6" s="9">
        <f>IF(IF(IF(ISERROR('Revenue &amp; gross margin'!J5&lt;1),'Revenue &amp; gross margin'!J5&lt;1,IF('Revenue &amp; gross margin'!J5="","",'Revenue &amp; gross margin'!J5&lt;1))="",FALSE,IF(ISERROR('Revenue &amp; gross margin'!J5&lt;1),'Revenue &amp; gross margin'!J5&lt;1,IF('Revenue &amp; gross margin'!J5="","",'Revenue &amp; gross margin'!J5&lt;1))),0,'Model inputs'!B9*IF(AND((1+'Model inputs'!B10)=0,(MIN('Revenue &amp; gross margin'!J5,'Model inputs'!B7)-1)=0),SQRT(-1),(1+'Model inputs'!B10)^(MIN('Revenue &amp; gross margin'!J5,'Model inputs'!B7)-1))*'Model inputs'!B14)</f>
        <v>1000</v>
      </c>
      <c r="K6" s="9">
        <f>IF(IF(IF(ISERROR('Revenue &amp; gross margin'!K5&lt;1),'Revenue &amp; gross margin'!K5&lt;1,IF('Revenue &amp; gross margin'!K5="","",'Revenue &amp; gross margin'!K5&lt;1))="",FALSE,IF(ISERROR('Revenue &amp; gross margin'!K5&lt;1),'Revenue &amp; gross margin'!K5&lt;1,IF('Revenue &amp; gross margin'!K5="","",'Revenue &amp; gross margin'!K5&lt;1))),0,'Model inputs'!B9*IF(AND((1+'Model inputs'!B10)=0,(MIN('Revenue &amp; gross margin'!K5,'Model inputs'!B7)-1)=0),SQRT(-1),(1+'Model inputs'!B10)^(MIN('Revenue &amp; gross margin'!K5,'Model inputs'!B7)-1))*'Model inputs'!B14)</f>
        <v>1000</v>
      </c>
      <c r="L6" s="9">
        <f>IF(IF(IF(ISERROR('Revenue &amp; gross margin'!L5&lt;1),'Revenue &amp; gross margin'!L5&lt;1,IF('Revenue &amp; gross margin'!L5="","",'Revenue &amp; gross margin'!L5&lt;1))="",FALSE,IF(ISERROR('Revenue &amp; gross margin'!L5&lt;1),'Revenue &amp; gross margin'!L5&lt;1,IF('Revenue &amp; gross margin'!L5="","",'Revenue &amp; gross margin'!L5&lt;1))),0,'Model inputs'!B9*IF(AND((1+'Model inputs'!B10)=0,(MIN('Revenue &amp; gross margin'!L5,'Model inputs'!B7)-1)=0),SQRT(-1),(1+'Model inputs'!B10)^(MIN('Revenue &amp; gross margin'!L5,'Model inputs'!B7)-1))*'Model inputs'!B14)</f>
        <v>1000</v>
      </c>
      <c r="M6" s="9">
        <f>IF(IF(IF(ISERROR('Revenue &amp; gross margin'!M5&lt;1),'Revenue &amp; gross margin'!M5&lt;1,IF('Revenue &amp; gross margin'!M5="","",'Revenue &amp; gross margin'!M5&lt;1))="",FALSE,IF(ISERROR('Revenue &amp; gross margin'!M5&lt;1),'Revenue &amp; gross margin'!M5&lt;1,IF('Revenue &amp; gross margin'!M5="","",'Revenue &amp; gross margin'!M5&lt;1))),0,'Model inputs'!B9*IF(AND((1+'Model inputs'!B10)=0,(MIN('Revenue &amp; gross margin'!M5,'Model inputs'!B7)-1)=0),SQRT(-1),(1+'Model inputs'!B10)^(MIN('Revenue &amp; gross margin'!M5,'Model inputs'!B7)-1))*'Model inputs'!B14)</f>
        <v>1000</v>
      </c>
      <c r="N6" s="9">
        <f>IF(IF(IF(ISERROR('Revenue &amp; gross margin'!N5&lt;1),'Revenue &amp; gross margin'!N5&lt;1,IF('Revenue &amp; gross margin'!N5="","",'Revenue &amp; gross margin'!N5&lt;1))="",FALSE,IF(ISERROR('Revenue &amp; gross margin'!N5&lt;1),'Revenue &amp; gross margin'!N5&lt;1,IF('Revenue &amp; gross margin'!N5="","",'Revenue &amp; gross margin'!N5&lt;1))),0,'Model inputs'!B9*IF(AND((1+'Model inputs'!B10)=0,(MIN('Revenue &amp; gross margin'!N5,'Model inputs'!B7)-1)=0),SQRT(-1),(1+'Model inputs'!B10)^(MIN('Revenue &amp; gross margin'!N5,'Model inputs'!B7)-1))*'Model inputs'!B14)</f>
        <v>1000</v>
      </c>
      <c r="O6" s="9">
        <f>IF(IF(IF(ISERROR('Revenue &amp; gross margin'!O5&lt;1),'Revenue &amp; gross margin'!O5&lt;1,IF('Revenue &amp; gross margin'!O5="","",'Revenue &amp; gross margin'!O5&lt;1))="",FALSE,IF(ISERROR('Revenue &amp; gross margin'!O5&lt;1),'Revenue &amp; gross margin'!O5&lt;1,IF('Revenue &amp; gross margin'!O5="","",'Revenue &amp; gross margin'!O5&lt;1))),0,'Model inputs'!B9*IF(AND((1+'Model inputs'!B10)=0,(MIN('Revenue &amp; gross margin'!O5,'Model inputs'!B7)-1)=0),SQRT(-1),(1+'Model inputs'!B10)^(MIN('Revenue &amp; gross margin'!O5,'Model inputs'!B7)-1))*'Model inputs'!B14)</f>
        <v>1000</v>
      </c>
      <c r="P6" s="9">
        <f>IF(IF(IF(ISERROR('Revenue &amp; gross margin'!P5&lt;1),'Revenue &amp; gross margin'!P5&lt;1,IF('Revenue &amp; gross margin'!P5="","",'Revenue &amp; gross margin'!P5&lt;1))="",FALSE,IF(ISERROR('Revenue &amp; gross margin'!P5&lt;1),'Revenue &amp; gross margin'!P5&lt;1,IF('Revenue &amp; gross margin'!P5="","",'Revenue &amp; gross margin'!P5&lt;1))),0,'Model inputs'!B9*IF(AND((1+'Model inputs'!B10)=0,(MIN('Revenue &amp; gross margin'!P5,'Model inputs'!B7)-1)=0),SQRT(-1),(1+'Model inputs'!B10)^(MIN('Revenue &amp; gross margin'!P5,'Model inputs'!B7)-1))*'Model inputs'!B14)</f>
        <v>1000</v>
      </c>
      <c r="Q6" s="9">
        <f>IF(IF(IF(ISERROR('Revenue &amp; gross margin'!Q5&lt;1),'Revenue &amp; gross margin'!Q5&lt;1,IF('Revenue &amp; gross margin'!Q5="","",'Revenue &amp; gross margin'!Q5&lt;1))="",FALSE,IF(ISERROR('Revenue &amp; gross margin'!Q5&lt;1),'Revenue &amp; gross margin'!Q5&lt;1,IF('Revenue &amp; gross margin'!Q5="","",'Revenue &amp; gross margin'!Q5&lt;1))),0,'Model inputs'!B9*IF(AND((1+'Model inputs'!B10)=0,(MIN('Revenue &amp; gross margin'!Q5,'Model inputs'!B7)-1)=0),SQRT(-1),(1+'Model inputs'!B10)^(MIN('Revenue &amp; gross margin'!Q5,'Model inputs'!B7)-1))*'Model inputs'!B14)</f>
        <v>1000</v>
      </c>
      <c r="R6" s="9">
        <f>IF(IF(IF(ISERROR('Revenue &amp; gross margin'!R5&lt;1),'Revenue &amp; gross margin'!R5&lt;1,IF('Revenue &amp; gross margin'!R5="","",'Revenue &amp; gross margin'!R5&lt;1))="",FALSE,IF(ISERROR('Revenue &amp; gross margin'!R5&lt;1),'Revenue &amp; gross margin'!R5&lt;1,IF('Revenue &amp; gross margin'!R5="","",'Revenue &amp; gross margin'!R5&lt;1))),0,'Model inputs'!B9*IF(AND((1+'Model inputs'!B10)=0,(MIN('Revenue &amp; gross margin'!R5,'Model inputs'!B7)-1)=0),SQRT(-1),(1+'Model inputs'!B10)^(MIN('Revenue &amp; gross margin'!R5,'Model inputs'!B7)-1))*'Model inputs'!B14)</f>
        <v>1000</v>
      </c>
      <c r="S6" s="9">
        <f>IF(IF(IF(ISERROR('Revenue &amp; gross margin'!S5&lt;1),'Revenue &amp; gross margin'!S5&lt;1,IF('Revenue &amp; gross margin'!S5="","",'Revenue &amp; gross margin'!S5&lt;1))="",FALSE,IF(ISERROR('Revenue &amp; gross margin'!S5&lt;1),'Revenue &amp; gross margin'!S5&lt;1,IF('Revenue &amp; gross margin'!S5="","",'Revenue &amp; gross margin'!S5&lt;1))),0,'Model inputs'!B9*IF(AND((1+'Model inputs'!B10)=0,(MIN('Revenue &amp; gross margin'!S5,'Model inputs'!B7)-1)=0),SQRT(-1),(1+'Model inputs'!B10)^(MIN('Revenue &amp; gross margin'!S5,'Model inputs'!B7)-1))*'Model inputs'!B14)</f>
        <v>1000</v>
      </c>
      <c r="T6" s="9">
        <f>IF(IF(IF(ISERROR('Revenue &amp; gross margin'!T5&lt;1),'Revenue &amp; gross margin'!T5&lt;1,IF('Revenue &amp; gross margin'!T5="","",'Revenue &amp; gross margin'!T5&lt;1))="",FALSE,IF(ISERROR('Revenue &amp; gross margin'!T5&lt;1),'Revenue &amp; gross margin'!T5&lt;1,IF('Revenue &amp; gross margin'!T5="","",'Revenue &amp; gross margin'!T5&lt;1))),0,'Model inputs'!B9*IF(AND((1+'Model inputs'!B10)=0,(MIN('Revenue &amp; gross margin'!T5,'Model inputs'!B7)-1)=0),SQRT(-1),(1+'Model inputs'!B10)^(MIN('Revenue &amp; gross margin'!T5,'Model inputs'!B7)-1))*'Model inputs'!B14)</f>
        <v>1000</v>
      </c>
      <c r="U6" s="9">
        <f>IF(IF(IF(ISERROR('Revenue &amp; gross margin'!U5&lt;1),'Revenue &amp; gross margin'!U5&lt;1,IF('Revenue &amp; gross margin'!U5="","",'Revenue &amp; gross margin'!U5&lt;1))="",FALSE,IF(ISERROR('Revenue &amp; gross margin'!U5&lt;1),'Revenue &amp; gross margin'!U5&lt;1,IF('Revenue &amp; gross margin'!U5="","",'Revenue &amp; gross margin'!U5&lt;1))),0,'Model inputs'!B9*IF(AND((1+'Model inputs'!B10)=0,(MIN('Revenue &amp; gross margin'!U5,'Model inputs'!B7)-1)=0),SQRT(-1),(1+'Model inputs'!B10)^(MIN('Revenue &amp; gross margin'!U5,'Model inputs'!B7)-1))*'Model inputs'!B14)</f>
        <v>1000</v>
      </c>
      <c r="V6" s="9">
        <f>IF(IF(IF(ISERROR('Revenue &amp; gross margin'!V5&lt;1),'Revenue &amp; gross margin'!V5&lt;1,IF('Revenue &amp; gross margin'!V5="","",'Revenue &amp; gross margin'!V5&lt;1))="",FALSE,IF(ISERROR('Revenue &amp; gross margin'!V5&lt;1),'Revenue &amp; gross margin'!V5&lt;1,IF('Revenue &amp; gross margin'!V5="","",'Revenue &amp; gross margin'!V5&lt;1))),0,'Model inputs'!B9*IF(AND((1+'Model inputs'!B10)=0,(MIN('Revenue &amp; gross margin'!V5,'Model inputs'!B7)-1)=0),SQRT(-1),(1+'Model inputs'!B10)^(MIN('Revenue &amp; gross margin'!V5,'Model inputs'!B7)-1))*'Model inputs'!B14)</f>
        <v>1000</v>
      </c>
      <c r="W6" s="9">
        <f>IF(IF(IF(ISERROR('Revenue &amp; gross margin'!W5&lt;1),'Revenue &amp; gross margin'!W5&lt;1,IF('Revenue &amp; gross margin'!W5="","",'Revenue &amp; gross margin'!W5&lt;1))="",FALSE,IF(ISERROR('Revenue &amp; gross margin'!W5&lt;1),'Revenue &amp; gross margin'!W5&lt;1,IF('Revenue &amp; gross margin'!W5="","",'Revenue &amp; gross margin'!W5&lt;1))),0,'Model inputs'!B9*IF(AND((1+'Model inputs'!B10)=0,(MIN('Revenue &amp; gross margin'!W5,'Model inputs'!B7)-1)=0),SQRT(-1),(1+'Model inputs'!B10)^(MIN('Revenue &amp; gross margin'!W5,'Model inputs'!B7)-1))*'Model inputs'!B14)</f>
        <v>1000</v>
      </c>
      <c r="X6" s="9">
        <f>IF(IF(IF(ISERROR('Revenue &amp; gross margin'!X5&lt;1),'Revenue &amp; gross margin'!X5&lt;1,IF('Revenue &amp; gross margin'!X5="","",'Revenue &amp; gross margin'!X5&lt;1))="",FALSE,IF(ISERROR('Revenue &amp; gross margin'!X5&lt;1),'Revenue &amp; gross margin'!X5&lt;1,IF('Revenue &amp; gross margin'!X5="","",'Revenue &amp; gross margin'!X5&lt;1))),0,'Model inputs'!B9*IF(AND((1+'Model inputs'!B10)=0,(MIN('Revenue &amp; gross margin'!X5,'Model inputs'!B7)-1)=0),SQRT(-1),(1+'Model inputs'!B10)^(MIN('Revenue &amp; gross margin'!X5,'Model inputs'!B7)-1))*'Model inputs'!B14)</f>
        <v>1000</v>
      </c>
      <c r="Y6" s="9">
        <f>IF(IF(IF(ISERROR('Revenue &amp; gross margin'!Y5&lt;1),'Revenue &amp; gross margin'!Y5&lt;1,IF('Revenue &amp; gross margin'!Y5="","",'Revenue &amp; gross margin'!Y5&lt;1))="",FALSE,IF(ISERROR('Revenue &amp; gross margin'!Y5&lt;1),'Revenue &amp; gross margin'!Y5&lt;1,IF('Revenue &amp; gross margin'!Y5="","",'Revenue &amp; gross margin'!Y5&lt;1))),0,'Model inputs'!B9*IF(AND((1+'Model inputs'!B10)=0,(MIN('Revenue &amp; gross margin'!Y5,'Model inputs'!B7)-1)=0),SQRT(-1),(1+'Model inputs'!B10)^(MIN('Revenue &amp; gross margin'!Y5,'Model inputs'!B7)-1))*'Model inputs'!B14)</f>
        <v>1000</v>
      </c>
    </row>
    <row r="7">
      <c r="A7" t="inlineStr" s="8">
        <is>
          <t xml:space="preserve">Verified fixes</t>
        </is>
      </c>
      <c r="B7" s="9">
        <f>'Revenue &amp; gross margin'!B6*'Model inputs'!B13</f>
        <v>0</v>
      </c>
      <c r="C7" s="9">
        <f>'Revenue &amp; gross margin'!C6*'Model inputs'!B13</f>
        <v>750</v>
      </c>
      <c r="D7" s="9">
        <f>'Revenue &amp; gross margin'!D6*'Model inputs'!B13</f>
        <v>750</v>
      </c>
      <c r="E7" s="9">
        <f>'Revenue &amp; gross margin'!E6*'Model inputs'!B13</f>
        <v>750</v>
      </c>
      <c r="F7" s="9">
        <f>'Revenue &amp; gross margin'!F6*'Model inputs'!B13</f>
        <v>750</v>
      </c>
      <c r="G7" s="9">
        <f>'Revenue &amp; gross margin'!G6*'Model inputs'!B13</f>
        <v>750</v>
      </c>
      <c r="H7" s="9">
        <f>'Revenue &amp; gross margin'!H6*'Model inputs'!B13</f>
        <v>750</v>
      </c>
      <c r="I7" s="9">
        <f>'Revenue &amp; gross margin'!I6*'Model inputs'!B13</f>
        <v>750</v>
      </c>
      <c r="J7" s="9">
        <f>'Revenue &amp; gross margin'!J6*'Model inputs'!B13</f>
        <v>750</v>
      </c>
      <c r="K7" s="9">
        <f>'Revenue &amp; gross margin'!K6*'Model inputs'!B13</f>
        <v>750</v>
      </c>
      <c r="L7" s="9">
        <f>'Revenue &amp; gross margin'!L6*'Model inputs'!B13</f>
        <v>750</v>
      </c>
      <c r="M7" s="9">
        <f>'Revenue &amp; gross margin'!M6*'Model inputs'!B13</f>
        <v>750</v>
      </c>
      <c r="N7" s="9">
        <f>'Revenue &amp; gross margin'!N6*'Model inputs'!B13</f>
        <v>750</v>
      </c>
      <c r="O7" s="9">
        <f>'Revenue &amp; gross margin'!O6*'Model inputs'!B13</f>
        <v>750</v>
      </c>
      <c r="P7" s="9">
        <f>'Revenue &amp; gross margin'!P6*'Model inputs'!B13</f>
        <v>750</v>
      </c>
      <c r="Q7" s="9">
        <f>'Revenue &amp; gross margin'!Q6*'Model inputs'!B13</f>
        <v>750</v>
      </c>
      <c r="R7" s="9">
        <f>'Revenue &amp; gross margin'!R6*'Model inputs'!B13</f>
        <v>750</v>
      </c>
      <c r="S7" s="9">
        <f>'Revenue &amp; gross margin'!S6*'Model inputs'!B13</f>
        <v>750</v>
      </c>
      <c r="T7" s="9">
        <f>'Revenue &amp; gross margin'!T6*'Model inputs'!B13</f>
        <v>750</v>
      </c>
      <c r="U7" s="9">
        <f>'Revenue &amp; gross margin'!U6*'Model inputs'!B13</f>
        <v>750</v>
      </c>
      <c r="V7" s="9">
        <f>'Revenue &amp; gross margin'!V6*'Model inputs'!B13</f>
        <v>750</v>
      </c>
      <c r="W7" s="9">
        <f>'Revenue &amp; gross margin'!W6*'Model inputs'!B13</f>
        <v>750</v>
      </c>
      <c r="X7" s="9">
        <f>'Revenue &amp; gross margin'!X6*'Model inputs'!B13</f>
        <v>750</v>
      </c>
      <c r="Y7" s="9">
        <f>'Revenue &amp; gross margin'!Y6*'Model inputs'!B13</f>
        <v>750</v>
      </c>
    </row>
    <row r="8">
      <c r="A8" t="inlineStr" s="10">
        <is>
          <t xml:space="preserve">Revenue</t>
        </is>
      </c>
      <c r="B8" s="11">
        <f>'Revenue &amp; gross margin'!B7*'Model inputs'!B12</f>
        <v>0</v>
      </c>
      <c r="C8" s="11">
        <f>'Revenue &amp; gross margin'!C7*'Model inputs'!B12</f>
        <v>255.00000000000003</v>
      </c>
      <c r="D8" s="11">
        <f>'Revenue &amp; gross margin'!D7*'Model inputs'!B12</f>
        <v>255.00000000000003</v>
      </c>
      <c r="E8" s="11">
        <f>'Revenue &amp; gross margin'!E7*'Model inputs'!B12</f>
        <v>255.00000000000003</v>
      </c>
      <c r="F8" s="11">
        <f>'Revenue &amp; gross margin'!F7*'Model inputs'!B12</f>
        <v>255.00000000000003</v>
      </c>
      <c r="G8" s="11">
        <f>'Revenue &amp; gross margin'!G7*'Model inputs'!B12</f>
        <v>255.00000000000003</v>
      </c>
      <c r="H8" s="11">
        <f>'Revenue &amp; gross margin'!H7*'Model inputs'!B12</f>
        <v>255.00000000000003</v>
      </c>
      <c r="I8" s="11">
        <f>'Revenue &amp; gross margin'!I7*'Model inputs'!B12</f>
        <v>255.00000000000003</v>
      </c>
      <c r="J8" s="11">
        <f>'Revenue &amp; gross margin'!J7*'Model inputs'!B12</f>
        <v>255.00000000000003</v>
      </c>
      <c r="K8" s="11">
        <f>'Revenue &amp; gross margin'!K7*'Model inputs'!B12</f>
        <v>255.00000000000003</v>
      </c>
      <c r="L8" s="11">
        <f>'Revenue &amp; gross margin'!L7*'Model inputs'!B12</f>
        <v>255.00000000000003</v>
      </c>
      <c r="M8" s="11">
        <f>'Revenue &amp; gross margin'!M7*'Model inputs'!B12</f>
        <v>255.00000000000003</v>
      </c>
      <c r="N8" s="11">
        <f>'Revenue &amp; gross margin'!N7*'Model inputs'!B12</f>
        <v>255.00000000000003</v>
      </c>
      <c r="O8" s="11">
        <f>'Revenue &amp; gross margin'!O7*'Model inputs'!B12</f>
        <v>255.00000000000003</v>
      </c>
      <c r="P8" s="11">
        <f>'Revenue &amp; gross margin'!P7*'Model inputs'!B12</f>
        <v>255.00000000000003</v>
      </c>
      <c r="Q8" s="11">
        <f>'Revenue &amp; gross margin'!Q7*'Model inputs'!B12</f>
        <v>255.00000000000003</v>
      </c>
      <c r="R8" s="11">
        <f>'Revenue &amp; gross margin'!R7*'Model inputs'!B12</f>
        <v>255.00000000000003</v>
      </c>
      <c r="S8" s="11">
        <f>'Revenue &amp; gross margin'!S7*'Model inputs'!B12</f>
        <v>255.00000000000003</v>
      </c>
      <c r="T8" s="11">
        <f>'Revenue &amp; gross margin'!T7*'Model inputs'!B12</f>
        <v>255.00000000000003</v>
      </c>
      <c r="U8" s="11">
        <f>'Revenue &amp; gross margin'!U7*'Model inputs'!B12</f>
        <v>255.00000000000003</v>
      </c>
      <c r="V8" s="11">
        <f>'Revenue &amp; gross margin'!V7*'Model inputs'!B12</f>
        <v>255.00000000000003</v>
      </c>
      <c r="W8" s="11">
        <f>'Revenue &amp; gross margin'!W7*'Model inputs'!B12</f>
        <v>255.00000000000003</v>
      </c>
      <c r="X8" s="11">
        <f>'Revenue &amp; gross margin'!X7*'Model inputs'!B12</f>
        <v>255.00000000000003</v>
      </c>
      <c r="Y8" s="11">
        <f>'Revenue &amp; gross margin'!Y7*'Model inputs'!B12</f>
        <v>255.00000000000003</v>
      </c>
    </row>
    <row r="9">
      <c r="A9" t="inlineStr" s="12">
        <is>
          <t xml:space="preserve">Model usage cost</t>
        </is>
      </c>
      <c r="B9" s="13">
        <f>'Revenue &amp; gross margin'!B7*'Model inputs'!B6</f>
        <v>0</v>
      </c>
      <c r="C9" s="13">
        <f>'Revenue &amp; gross margin'!C7*'Model inputs'!B6</f>
        <v>97.5</v>
      </c>
      <c r="D9" s="13">
        <f>'Revenue &amp; gross margin'!D7*'Model inputs'!B6</f>
        <v>97.5</v>
      </c>
      <c r="E9" s="13">
        <f>'Revenue &amp; gross margin'!E7*'Model inputs'!B6</f>
        <v>97.5</v>
      </c>
      <c r="F9" s="13">
        <f>'Revenue &amp; gross margin'!F7*'Model inputs'!B6</f>
        <v>97.5</v>
      </c>
      <c r="G9" s="13">
        <f>'Revenue &amp; gross margin'!G7*'Model inputs'!B6</f>
        <v>97.5</v>
      </c>
      <c r="H9" s="13">
        <f>'Revenue &amp; gross margin'!H7*'Model inputs'!B6</f>
        <v>97.5</v>
      </c>
      <c r="I9" s="13">
        <f>'Revenue &amp; gross margin'!I7*'Model inputs'!B6</f>
        <v>97.5</v>
      </c>
      <c r="J9" s="13">
        <f>'Revenue &amp; gross margin'!J7*'Model inputs'!B6</f>
        <v>97.5</v>
      </c>
      <c r="K9" s="13">
        <f>'Revenue &amp; gross margin'!K7*'Model inputs'!B6</f>
        <v>97.5</v>
      </c>
      <c r="L9" s="13">
        <f>'Revenue &amp; gross margin'!L7*'Model inputs'!B6</f>
        <v>97.5</v>
      </c>
      <c r="M9" s="13">
        <f>'Revenue &amp; gross margin'!M7*'Model inputs'!B6</f>
        <v>97.5</v>
      </c>
      <c r="N9" s="13">
        <f>'Revenue &amp; gross margin'!N7*'Model inputs'!B6</f>
        <v>97.5</v>
      </c>
      <c r="O9" s="13">
        <f>'Revenue &amp; gross margin'!O7*'Model inputs'!B6</f>
        <v>97.5</v>
      </c>
      <c r="P9" s="13">
        <f>'Revenue &amp; gross margin'!P7*'Model inputs'!B6</f>
        <v>97.5</v>
      </c>
      <c r="Q9" s="13">
        <f>'Revenue &amp; gross margin'!Q7*'Model inputs'!B6</f>
        <v>97.5</v>
      </c>
      <c r="R9" s="13">
        <f>'Revenue &amp; gross margin'!R7*'Model inputs'!B6</f>
        <v>97.5</v>
      </c>
      <c r="S9" s="13">
        <f>'Revenue &amp; gross margin'!S7*'Model inputs'!B6</f>
        <v>97.5</v>
      </c>
      <c r="T9" s="13">
        <f>'Revenue &amp; gross margin'!T7*'Model inputs'!B6</f>
        <v>97.5</v>
      </c>
      <c r="U9" s="13">
        <f>'Revenue &amp; gross margin'!U7*'Model inputs'!B6</f>
        <v>97.5</v>
      </c>
      <c r="V9" s="13">
        <f>'Revenue &amp; gross margin'!V7*'Model inputs'!B6</f>
        <v>97.5</v>
      </c>
      <c r="W9" s="13">
        <f>'Revenue &amp; gross margin'!W7*'Model inputs'!B6</f>
        <v>97.5</v>
      </c>
      <c r="X9" s="13">
        <f>'Revenue &amp; gross margin'!X7*'Model inputs'!B6</f>
        <v>97.5</v>
      </c>
      <c r="Y9" s="13">
        <f>'Revenue &amp; gross margin'!Y7*'Model inputs'!B6</f>
        <v>97.5</v>
      </c>
    </row>
    <row r="10">
      <c r="A10" t="inlineStr" s="12">
        <is>
          <t xml:space="preserve">Payment processing</t>
        </is>
      </c>
      <c r="B10" s="13">
        <f>'Revenue &amp; gross margin'!B8*'Model inputs'!B11</f>
        <v>0</v>
      </c>
      <c r="C10" s="13">
        <f>'Revenue &amp; gross margin'!C8*'Model inputs'!B11</f>
        <v>7.65</v>
      </c>
      <c r="D10" s="13">
        <f>'Revenue &amp; gross margin'!D8*'Model inputs'!B11</f>
        <v>7.65</v>
      </c>
      <c r="E10" s="13">
        <f>'Revenue &amp; gross margin'!E8*'Model inputs'!B11</f>
        <v>7.65</v>
      </c>
      <c r="F10" s="13">
        <f>'Revenue &amp; gross margin'!F8*'Model inputs'!B11</f>
        <v>7.65</v>
      </c>
      <c r="G10" s="13">
        <f>'Revenue &amp; gross margin'!G8*'Model inputs'!B11</f>
        <v>7.65</v>
      </c>
      <c r="H10" s="13">
        <f>'Revenue &amp; gross margin'!H8*'Model inputs'!B11</f>
        <v>7.65</v>
      </c>
      <c r="I10" s="13">
        <f>'Revenue &amp; gross margin'!I8*'Model inputs'!B11</f>
        <v>7.65</v>
      </c>
      <c r="J10" s="13">
        <f>'Revenue &amp; gross margin'!J8*'Model inputs'!B11</f>
        <v>7.65</v>
      </c>
      <c r="K10" s="13">
        <f>'Revenue &amp; gross margin'!K8*'Model inputs'!B11</f>
        <v>7.65</v>
      </c>
      <c r="L10" s="13">
        <f>'Revenue &amp; gross margin'!L8*'Model inputs'!B11</f>
        <v>7.65</v>
      </c>
      <c r="M10" s="13">
        <f>'Revenue &amp; gross margin'!M8*'Model inputs'!B11</f>
        <v>7.65</v>
      </c>
      <c r="N10" s="13">
        <f>'Revenue &amp; gross margin'!N8*'Model inputs'!B11</f>
        <v>7.65</v>
      </c>
      <c r="O10" s="13">
        <f>'Revenue &amp; gross margin'!O8*'Model inputs'!B11</f>
        <v>7.65</v>
      </c>
      <c r="P10" s="13">
        <f>'Revenue &amp; gross margin'!P8*'Model inputs'!B11</f>
        <v>7.65</v>
      </c>
      <c r="Q10" s="13">
        <f>'Revenue &amp; gross margin'!Q8*'Model inputs'!B11</f>
        <v>7.65</v>
      </c>
      <c r="R10" s="13">
        <f>'Revenue &amp; gross margin'!R8*'Model inputs'!B11</f>
        <v>7.65</v>
      </c>
      <c r="S10" s="13">
        <f>'Revenue &amp; gross margin'!S8*'Model inputs'!B11</f>
        <v>7.65</v>
      </c>
      <c r="T10" s="13">
        <f>'Revenue &amp; gross margin'!T8*'Model inputs'!B11</f>
        <v>7.65</v>
      </c>
      <c r="U10" s="13">
        <f>'Revenue &amp; gross margin'!U8*'Model inputs'!B11</f>
        <v>7.65</v>
      </c>
      <c r="V10" s="13">
        <f>'Revenue &amp; gross margin'!V8*'Model inputs'!B11</f>
        <v>7.65</v>
      </c>
      <c r="W10" s="13">
        <f>'Revenue &amp; gross margin'!W8*'Model inputs'!B11</f>
        <v>7.65</v>
      </c>
      <c r="X10" s="13">
        <f>'Revenue &amp; gross margin'!X8*'Model inputs'!B11</f>
        <v>7.65</v>
      </c>
      <c r="Y10" s="13">
        <f>'Revenue &amp; gross margin'!Y8*'Model inputs'!B11</f>
        <v>7.65</v>
      </c>
    </row>
    <row r="11">
      <c r="A11" t="inlineStr" s="8">
        <is>
          <t xml:space="preserve">Cost of revenue</t>
        </is>
      </c>
      <c r="B11" s="13">
        <f>'Revenue &amp; gross margin'!B9+'Revenue &amp; gross margin'!B10</f>
        <v>0</v>
      </c>
      <c r="C11" s="13">
        <f>'Revenue &amp; gross margin'!C9+'Revenue &amp; gross margin'!C10</f>
        <v>105.15</v>
      </c>
      <c r="D11" s="13">
        <f>'Revenue &amp; gross margin'!D9+'Revenue &amp; gross margin'!D10</f>
        <v>105.15</v>
      </c>
      <c r="E11" s="13">
        <f>'Revenue &amp; gross margin'!E9+'Revenue &amp; gross margin'!E10</f>
        <v>105.15</v>
      </c>
      <c r="F11" s="13">
        <f>'Revenue &amp; gross margin'!F9+'Revenue &amp; gross margin'!F10</f>
        <v>105.15</v>
      </c>
      <c r="G11" s="13">
        <f>'Revenue &amp; gross margin'!G9+'Revenue &amp; gross margin'!G10</f>
        <v>105.15</v>
      </c>
      <c r="H11" s="13">
        <f>'Revenue &amp; gross margin'!H9+'Revenue &amp; gross margin'!H10</f>
        <v>105.15</v>
      </c>
      <c r="I11" s="13">
        <f>'Revenue &amp; gross margin'!I9+'Revenue &amp; gross margin'!I10</f>
        <v>105.15</v>
      </c>
      <c r="J11" s="13">
        <f>'Revenue &amp; gross margin'!J9+'Revenue &amp; gross margin'!J10</f>
        <v>105.15</v>
      </c>
      <c r="K11" s="13">
        <f>'Revenue &amp; gross margin'!K9+'Revenue &amp; gross margin'!K10</f>
        <v>105.15</v>
      </c>
      <c r="L11" s="13">
        <f>'Revenue &amp; gross margin'!L9+'Revenue &amp; gross margin'!L10</f>
        <v>105.15</v>
      </c>
      <c r="M11" s="13">
        <f>'Revenue &amp; gross margin'!M9+'Revenue &amp; gross margin'!M10</f>
        <v>105.15</v>
      </c>
      <c r="N11" s="13">
        <f>'Revenue &amp; gross margin'!N9+'Revenue &amp; gross margin'!N10</f>
        <v>105.15</v>
      </c>
      <c r="O11" s="13">
        <f>'Revenue &amp; gross margin'!O9+'Revenue &amp; gross margin'!O10</f>
        <v>105.15</v>
      </c>
      <c r="P11" s="13">
        <f>'Revenue &amp; gross margin'!P9+'Revenue &amp; gross margin'!P10</f>
        <v>105.15</v>
      </c>
      <c r="Q11" s="13">
        <f>'Revenue &amp; gross margin'!Q9+'Revenue &amp; gross margin'!Q10</f>
        <v>105.15</v>
      </c>
      <c r="R11" s="13">
        <f>'Revenue &amp; gross margin'!R9+'Revenue &amp; gross margin'!R10</f>
        <v>105.15</v>
      </c>
      <c r="S11" s="13">
        <f>'Revenue &amp; gross margin'!S9+'Revenue &amp; gross margin'!S10</f>
        <v>105.15</v>
      </c>
      <c r="T11" s="13">
        <f>'Revenue &amp; gross margin'!T9+'Revenue &amp; gross margin'!T10</f>
        <v>105.15</v>
      </c>
      <c r="U11" s="13">
        <f>'Revenue &amp; gross margin'!U9+'Revenue &amp; gross margin'!U10</f>
        <v>105.15</v>
      </c>
      <c r="V11" s="13">
        <f>'Revenue &amp; gross margin'!V9+'Revenue &amp; gross margin'!V10</f>
        <v>105.15</v>
      </c>
      <c r="W11" s="13">
        <f>'Revenue &amp; gross margin'!W9+'Revenue &amp; gross margin'!W10</f>
        <v>105.15</v>
      </c>
      <c r="X11" s="13">
        <f>'Revenue &amp; gross margin'!X9+'Revenue &amp; gross margin'!X10</f>
        <v>105.15</v>
      </c>
      <c r="Y11" s="13">
        <f>'Revenue &amp; gross margin'!Y9+'Revenue &amp; gross margin'!Y10</f>
        <v>105.15</v>
      </c>
    </row>
    <row r="12">
      <c r="A12" t="inlineStr" s="10">
        <is>
          <t xml:space="preserve">Gross profit</t>
        </is>
      </c>
      <c r="B12" s="11">
        <f>'Revenue &amp; gross margin'!B8-'Revenue &amp; gross margin'!B11</f>
        <v>0</v>
      </c>
      <c r="C12" s="11">
        <f>'Revenue &amp; gross margin'!C8-'Revenue &amp; gross margin'!C11</f>
        <v>149.85000000000002</v>
      </c>
      <c r="D12" s="11">
        <f>'Revenue &amp; gross margin'!D8-'Revenue &amp; gross margin'!D11</f>
        <v>149.85000000000002</v>
      </c>
      <c r="E12" s="11">
        <f>'Revenue &amp; gross margin'!E8-'Revenue &amp; gross margin'!E11</f>
        <v>149.85000000000002</v>
      </c>
      <c r="F12" s="11">
        <f>'Revenue &amp; gross margin'!F8-'Revenue &amp; gross margin'!F11</f>
        <v>149.85000000000002</v>
      </c>
      <c r="G12" s="11">
        <f>'Revenue &amp; gross margin'!G8-'Revenue &amp; gross margin'!G11</f>
        <v>149.85000000000002</v>
      </c>
      <c r="H12" s="11">
        <f>'Revenue &amp; gross margin'!H8-'Revenue &amp; gross margin'!H11</f>
        <v>149.85000000000002</v>
      </c>
      <c r="I12" s="11">
        <f>'Revenue &amp; gross margin'!I8-'Revenue &amp; gross margin'!I11</f>
        <v>149.85000000000002</v>
      </c>
      <c r="J12" s="11">
        <f>'Revenue &amp; gross margin'!J8-'Revenue &amp; gross margin'!J11</f>
        <v>149.85000000000002</v>
      </c>
      <c r="K12" s="11">
        <f>'Revenue &amp; gross margin'!K8-'Revenue &amp; gross margin'!K11</f>
        <v>149.85000000000002</v>
      </c>
      <c r="L12" s="11">
        <f>'Revenue &amp; gross margin'!L8-'Revenue &amp; gross margin'!L11</f>
        <v>149.85000000000002</v>
      </c>
      <c r="M12" s="11">
        <f>'Revenue &amp; gross margin'!M8-'Revenue &amp; gross margin'!M11</f>
        <v>149.85000000000002</v>
      </c>
      <c r="N12" s="11">
        <f>'Revenue &amp; gross margin'!N8-'Revenue &amp; gross margin'!N11</f>
        <v>149.85000000000002</v>
      </c>
      <c r="O12" s="11">
        <f>'Revenue &amp; gross margin'!O8-'Revenue &amp; gross margin'!O11</f>
        <v>149.85000000000002</v>
      </c>
      <c r="P12" s="11">
        <f>'Revenue &amp; gross margin'!P8-'Revenue &amp; gross margin'!P11</f>
        <v>149.85000000000002</v>
      </c>
      <c r="Q12" s="11">
        <f>'Revenue &amp; gross margin'!Q8-'Revenue &amp; gross margin'!Q11</f>
        <v>149.85000000000002</v>
      </c>
      <c r="R12" s="11">
        <f>'Revenue &amp; gross margin'!R8-'Revenue &amp; gross margin'!R11</f>
        <v>149.85000000000002</v>
      </c>
      <c r="S12" s="11">
        <f>'Revenue &amp; gross margin'!S8-'Revenue &amp; gross margin'!S11</f>
        <v>149.85000000000002</v>
      </c>
      <c r="T12" s="11">
        <f>'Revenue &amp; gross margin'!T8-'Revenue &amp; gross margin'!T11</f>
        <v>149.85000000000002</v>
      </c>
      <c r="U12" s="11">
        <f>'Revenue &amp; gross margin'!U8-'Revenue &amp; gross margin'!U11</f>
        <v>149.85000000000002</v>
      </c>
      <c r="V12" s="11">
        <f>'Revenue &amp; gross margin'!V8-'Revenue &amp; gross margin'!V11</f>
        <v>149.85000000000002</v>
      </c>
      <c r="W12" s="11">
        <f>'Revenue &amp; gross margin'!W8-'Revenue &amp; gross margin'!W11</f>
        <v>149.85000000000002</v>
      </c>
      <c r="X12" s="11">
        <f>'Revenue &amp; gross margin'!X8-'Revenue &amp; gross margin'!X11</f>
        <v>149.85000000000002</v>
      </c>
      <c r="Y12" s="11">
        <f>'Revenue &amp; gross margin'!Y8-'Revenue &amp; gross margin'!Y11</f>
        <v>149.85000000000002</v>
      </c>
    </row>
    <row r="13">
      <c r="A13" t="inlineStr" s="8">
        <is>
          <t xml:space="preserve">Gross margin</t>
        </is>
      </c>
      <c r="B13" t="str" s="14">
        <f>IFERROR('Revenue &amp; gross margin'!B12/'Revenue &amp; gross margin'!B8,"")</f>
        <v/>
      </c>
      <c r="C13" s="14">
        <f>IFERROR('Revenue &amp; gross margin'!C12/'Revenue &amp; gross margin'!C8,"")</f>
        <v>0.5876470588235294</v>
      </c>
      <c r="D13" s="14">
        <f>IFERROR('Revenue &amp; gross margin'!D12/'Revenue &amp; gross margin'!D8,"")</f>
        <v>0.5876470588235294</v>
      </c>
      <c r="E13" s="14">
        <f>IFERROR('Revenue &amp; gross margin'!E12/'Revenue &amp; gross margin'!E8,"")</f>
        <v>0.5876470588235294</v>
      </c>
      <c r="F13" s="14">
        <f>IFERROR('Revenue &amp; gross margin'!F12/'Revenue &amp; gross margin'!F8,"")</f>
        <v>0.5876470588235294</v>
      </c>
      <c r="G13" s="14">
        <f>IFERROR('Revenue &amp; gross margin'!G12/'Revenue &amp; gross margin'!G8,"")</f>
        <v>0.5876470588235294</v>
      </c>
      <c r="H13" s="14">
        <f>IFERROR('Revenue &amp; gross margin'!H12/'Revenue &amp; gross margin'!H8,"")</f>
        <v>0.5876470588235294</v>
      </c>
      <c r="I13" s="14">
        <f>IFERROR('Revenue &amp; gross margin'!I12/'Revenue &amp; gross margin'!I8,"")</f>
        <v>0.5876470588235294</v>
      </c>
      <c r="J13" s="14">
        <f>IFERROR('Revenue &amp; gross margin'!J12/'Revenue &amp; gross margin'!J8,"")</f>
        <v>0.5876470588235294</v>
      </c>
      <c r="K13" s="14">
        <f>IFERROR('Revenue &amp; gross margin'!K12/'Revenue &amp; gross margin'!K8,"")</f>
        <v>0.5876470588235294</v>
      </c>
      <c r="L13" s="14">
        <f>IFERROR('Revenue &amp; gross margin'!L12/'Revenue &amp; gross margin'!L8,"")</f>
        <v>0.5876470588235294</v>
      </c>
      <c r="M13" s="14">
        <f>IFERROR('Revenue &amp; gross margin'!M12/'Revenue &amp; gross margin'!M8,"")</f>
        <v>0.5876470588235294</v>
      </c>
      <c r="N13" s="14">
        <f>IFERROR('Revenue &amp; gross margin'!N12/'Revenue &amp; gross margin'!N8,"")</f>
        <v>0.5876470588235294</v>
      </c>
      <c r="O13" s="14">
        <f>IFERROR('Revenue &amp; gross margin'!O12/'Revenue &amp; gross margin'!O8,"")</f>
        <v>0.5876470588235294</v>
      </c>
      <c r="P13" s="14">
        <f>IFERROR('Revenue &amp; gross margin'!P12/'Revenue &amp; gross margin'!P8,"")</f>
        <v>0.5876470588235294</v>
      </c>
      <c r="Q13" s="14">
        <f>IFERROR('Revenue &amp; gross margin'!Q12/'Revenue &amp; gross margin'!Q8,"")</f>
        <v>0.5876470588235294</v>
      </c>
      <c r="R13" s="14">
        <f>IFERROR('Revenue &amp; gross margin'!R12/'Revenue &amp; gross margin'!R8,"")</f>
        <v>0.5876470588235294</v>
      </c>
      <c r="S13" s="14">
        <f>IFERROR('Revenue &amp; gross margin'!S12/'Revenue &amp; gross margin'!S8,"")</f>
        <v>0.5876470588235294</v>
      </c>
      <c r="T13" s="14">
        <f>IFERROR('Revenue &amp; gross margin'!T12/'Revenue &amp; gross margin'!T8,"")</f>
        <v>0.5876470588235294</v>
      </c>
      <c r="U13" s="14">
        <f>IFERROR('Revenue &amp; gross margin'!U12/'Revenue &amp; gross margin'!U8,"")</f>
        <v>0.5876470588235294</v>
      </c>
      <c r="V13" s="14">
        <f>IFERROR('Revenue &amp; gross margin'!V12/'Revenue &amp; gross margin'!V8,"")</f>
        <v>0.5876470588235294</v>
      </c>
      <c r="W13" s="14">
        <f>IFERROR('Revenue &amp; gross margin'!W12/'Revenue &amp; gross margin'!W8,"")</f>
        <v>0.5876470588235294</v>
      </c>
      <c r="X13" s="14">
        <f>IFERROR('Revenue &amp; gross margin'!X12/'Revenue &amp; gross margin'!X8,"")</f>
        <v>0.5876470588235294</v>
      </c>
      <c r="Y13" s="14">
        <f>IFERROR('Revenue &amp; gross margin'!Y12/'Revenue &amp; gross margin'!Y8,"")</f>
        <v>0.5876470588235294</v>
      </c>
    </row>
    <row r="14">
      <c r="A14" t="inlineStr" s="6">
        <is>
          <t xml:space="preserve">Revenue per job attempted</t>
        </is>
      </c>
      <c r="B14" t="str" s="15">
        <f>IFERROR('Revenue &amp; gross margin'!B8/'Revenue &amp; gross margin'!B6,"")</f>
        <v/>
      </c>
      <c r="C14" s="15">
        <f>IFERROR('Revenue &amp; gross margin'!C8/'Revenue &amp; gross margin'!C6,"")</f>
        <v>0.255</v>
      </c>
      <c r="D14" s="15">
        <f>IFERROR('Revenue &amp; gross margin'!D8/'Revenue &amp; gross margin'!D6,"")</f>
        <v>0.255</v>
      </c>
      <c r="E14" s="15">
        <f>IFERROR('Revenue &amp; gross margin'!E8/'Revenue &amp; gross margin'!E6,"")</f>
        <v>0.255</v>
      </c>
      <c r="F14" s="15">
        <f>IFERROR('Revenue &amp; gross margin'!F8/'Revenue &amp; gross margin'!F6,"")</f>
        <v>0.255</v>
      </c>
      <c r="G14" s="15">
        <f>IFERROR('Revenue &amp; gross margin'!G8/'Revenue &amp; gross margin'!G6,"")</f>
        <v>0.255</v>
      </c>
      <c r="H14" s="15">
        <f>IFERROR('Revenue &amp; gross margin'!H8/'Revenue &amp; gross margin'!H6,"")</f>
        <v>0.255</v>
      </c>
      <c r="I14" s="15">
        <f>IFERROR('Revenue &amp; gross margin'!I8/'Revenue &amp; gross margin'!I6,"")</f>
        <v>0.255</v>
      </c>
      <c r="J14" s="15">
        <f>IFERROR('Revenue &amp; gross margin'!J8/'Revenue &amp; gross margin'!J6,"")</f>
        <v>0.255</v>
      </c>
      <c r="K14" s="15">
        <f>IFERROR('Revenue &amp; gross margin'!K8/'Revenue &amp; gross margin'!K6,"")</f>
        <v>0.255</v>
      </c>
      <c r="L14" s="15">
        <f>IFERROR('Revenue &amp; gross margin'!L8/'Revenue &amp; gross margin'!L6,"")</f>
        <v>0.255</v>
      </c>
      <c r="M14" s="15">
        <f>IFERROR('Revenue &amp; gross margin'!M8/'Revenue &amp; gross margin'!M6,"")</f>
        <v>0.255</v>
      </c>
      <c r="N14" s="15">
        <f>IFERROR('Revenue &amp; gross margin'!N8/'Revenue &amp; gross margin'!N6,"")</f>
        <v>0.255</v>
      </c>
      <c r="O14" s="15">
        <f>IFERROR('Revenue &amp; gross margin'!O8/'Revenue &amp; gross margin'!O6,"")</f>
        <v>0.255</v>
      </c>
      <c r="P14" s="15">
        <f>IFERROR('Revenue &amp; gross margin'!P8/'Revenue &amp; gross margin'!P6,"")</f>
        <v>0.255</v>
      </c>
      <c r="Q14" s="15">
        <f>IFERROR('Revenue &amp; gross margin'!Q8/'Revenue &amp; gross margin'!Q6,"")</f>
        <v>0.255</v>
      </c>
      <c r="R14" s="15">
        <f>IFERROR('Revenue &amp; gross margin'!R8/'Revenue &amp; gross margin'!R6,"")</f>
        <v>0.255</v>
      </c>
      <c r="S14" s="15">
        <f>IFERROR('Revenue &amp; gross margin'!S8/'Revenue &amp; gross margin'!S6,"")</f>
        <v>0.255</v>
      </c>
      <c r="T14" s="15">
        <f>IFERROR('Revenue &amp; gross margin'!T8/'Revenue &amp; gross margin'!T6,"")</f>
        <v>0.255</v>
      </c>
      <c r="U14" s="15">
        <f>IFERROR('Revenue &amp; gross margin'!U8/'Revenue &amp; gross margin'!U6,"")</f>
        <v>0.255</v>
      </c>
      <c r="V14" s="15">
        <f>IFERROR('Revenue &amp; gross margin'!V8/'Revenue &amp; gross margin'!V6,"")</f>
        <v>0.255</v>
      </c>
      <c r="W14" s="15">
        <f>IFERROR('Revenue &amp; gross margin'!W8/'Revenue &amp; gross margin'!W6,"")</f>
        <v>0.255</v>
      </c>
      <c r="X14" s="15">
        <f>IFERROR('Revenue &amp; gross margin'!X8/'Revenue &amp; gross margin'!X6,"")</f>
        <v>0.255</v>
      </c>
      <c r="Y14" s="15">
        <f>IFERROR('Revenue &amp; gross margin'!Y8/'Revenue &amp; gross margin'!Y6,"")</f>
        <v>0.255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B14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6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Value</t>
        </is>
      </c>
    </row>
    <row r="6">
      <c r="A6" t="inlineStr" s="17">
        <is>
          <t xml:space="preserve">All-in cost per verified fix</t>
        </is>
      </c>
      <c r="B6" s="18">
        <f>0.13</f>
        <v>0.13</v>
      </c>
    </row>
    <row r="7">
      <c r="A7" t="inlineStr" s="17">
        <is>
          <t xml:space="preserve">Growth months</t>
        </is>
      </c>
      <c r="B7" s="18">
        <f>12</f>
        <v>12</v>
      </c>
    </row>
    <row r="8">
      <c r="A8" t="inlineStr" s="17">
        <is>
          <t xml:space="preserve">Launch month</t>
        </is>
      </c>
      <c r="B8" s="19">
        <f>DATE(2026,11,1)</f>
        <v>46327</v>
      </c>
    </row>
    <row r="9">
      <c r="A9" t="inlineStr" s="17">
        <is>
          <t xml:space="preserve">Launch month jobs</t>
        </is>
      </c>
      <c r="B9" s="18">
        <f>1000</f>
        <v>1000</v>
      </c>
    </row>
    <row r="10">
      <c r="A10" t="inlineStr" s="17">
        <is>
          <t xml:space="preserve">Monthly job growth</t>
        </is>
      </c>
      <c r="B10" s="18">
        <f>0</f>
        <v>0</v>
      </c>
    </row>
    <row r="11">
      <c r="A11" t="inlineStr" s="17">
        <is>
          <t xml:space="preserve">Payment processing rate</t>
        </is>
      </c>
      <c r="B11" s="18">
        <f>0.03</f>
        <v>0.03</v>
      </c>
    </row>
    <row r="12">
      <c r="A12" t="inlineStr" s="17">
        <is>
          <t xml:space="preserve">Price per verified fix</t>
        </is>
      </c>
      <c r="B12" s="18">
        <f>0.34</f>
        <v>0.34</v>
      </c>
    </row>
    <row r="13">
      <c r="A13" t="inlineStr" s="17">
        <is>
          <t xml:space="preserve">Verification rate</t>
        </is>
      </c>
      <c r="B13" s="18">
        <f>0.75</f>
        <v>0.75</v>
      </c>
    </row>
    <row r="14">
      <c r="A14" t="inlineStr" s="17">
        <is>
          <t xml:space="preserve">Volume vs $0.34 price</t>
        </is>
      </c>
      <c r="B14" s="18">
        <f>1</f>
        <v>1</v>
      </c>
    </row>
  </sheetData>
  <mergeCells count="2">
    <mergeCell ref="A1:B1"/>
    <mergeCell ref="A2:B2"/>
  </mergeCells>
</worksheet>
</file>