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cenario comparison by quarter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###;(#,##0.###)"/>
    <numFmt numFmtId="165" formatCode="yyyy-mm-dd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3" borderId="1" xfId="0" applyFill="1" applyFont="1" applyBorder="1" applyAlignment="1">
      <alignment vertical="center" horizontal="right"/>
    </xf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5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AG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</cols>
  <sheetData>
    <row r="1" ht="32" customHeight="1">
      <c r="A1" t="inlineStr" s="1">
        <is>
          <t xml:space="preserve">Scenario comparison by quarter</t>
        </is>
      </c>
    </row>
    <row r="2" ht="20" customHeight="1">
      <c r="A2" t="inlineStr" s="2">
        <is>
          <t xml:space="preserve">Scenarios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4">
        <is>
          <t xml:space="preserve">2026-10 &gt; Base · $0.60</t>
        </is>
      </c>
      <c r="D4" t="inlineStr" s="4">
        <is>
          <t xml:space="preserve">2026-10 &gt; Growth · $0.34</t>
        </is>
      </c>
      <c r="E4" t="inlineStr" s="4">
        <is>
          <t xml:space="preserve">2026-10 &gt; Growth · $0.60</t>
        </is>
      </c>
      <c r="F4" t="inlineStr" s="4">
        <is>
          <t xml:space="preserve">2027-01</t>
        </is>
      </c>
      <c r="G4" t="inlineStr" s="4">
        <is>
          <t xml:space="preserve">2027-01 &gt; Base · $0.60</t>
        </is>
      </c>
      <c r="H4" t="inlineStr" s="4">
        <is>
          <t xml:space="preserve">2027-01 &gt; Growth · $0.34</t>
        </is>
      </c>
      <c r="I4" t="inlineStr" s="4">
        <is>
          <t xml:space="preserve">2027-01 &gt; Growth · $0.60</t>
        </is>
      </c>
      <c r="J4" t="inlineStr" s="4">
        <is>
          <t xml:space="preserve">2027-04</t>
        </is>
      </c>
      <c r="K4" t="inlineStr" s="4">
        <is>
          <t xml:space="preserve">2027-04 &gt; Base · $0.60</t>
        </is>
      </c>
      <c r="L4" t="inlineStr" s="4">
        <is>
          <t xml:space="preserve">2027-04 &gt; Growth · $0.34</t>
        </is>
      </c>
      <c r="M4" t="inlineStr" s="4">
        <is>
          <t xml:space="preserve">2027-04 &gt; Growth · $0.60</t>
        </is>
      </c>
      <c r="N4" t="inlineStr" s="4">
        <is>
          <t xml:space="preserve">2027-07</t>
        </is>
      </c>
      <c r="O4" t="inlineStr" s="4">
        <is>
          <t xml:space="preserve">2027-07 &gt; Base · $0.60</t>
        </is>
      </c>
      <c r="P4" t="inlineStr" s="4">
        <is>
          <t xml:space="preserve">2027-07 &gt; Growth · $0.34</t>
        </is>
      </c>
      <c r="Q4" t="inlineStr" s="4">
        <is>
          <t xml:space="preserve">2027-07 &gt; Growth · $0.60</t>
        </is>
      </c>
      <c r="R4" t="inlineStr" s="4">
        <is>
          <t xml:space="preserve">2027-10</t>
        </is>
      </c>
      <c r="S4" t="inlineStr" s="4">
        <is>
          <t xml:space="preserve">2027-10 &gt; Base · $0.60</t>
        </is>
      </c>
      <c r="T4" t="inlineStr" s="4">
        <is>
          <t xml:space="preserve">2027-10 &gt; Growth · $0.34</t>
        </is>
      </c>
      <c r="U4" t="inlineStr" s="4">
        <is>
          <t xml:space="preserve">2027-10 &gt; Growth · $0.60</t>
        </is>
      </c>
      <c r="V4" t="inlineStr" s="4">
        <is>
          <t xml:space="preserve">2028-01</t>
        </is>
      </c>
      <c r="W4" t="inlineStr" s="4">
        <is>
          <t xml:space="preserve">2028-01 &gt; Base · $0.60</t>
        </is>
      </c>
      <c r="X4" t="inlineStr" s="4">
        <is>
          <t xml:space="preserve">2028-01 &gt; Growth · $0.34</t>
        </is>
      </c>
      <c r="Y4" t="inlineStr" s="4">
        <is>
          <t xml:space="preserve">2028-01 &gt; Growth · $0.60</t>
        </is>
      </c>
      <c r="Z4" t="inlineStr" s="4">
        <is>
          <t xml:space="preserve">2028-04</t>
        </is>
      </c>
      <c r="AA4" t="inlineStr" s="4">
        <is>
          <t xml:space="preserve">2028-04 &gt; Base · $0.60</t>
        </is>
      </c>
      <c r="AB4" t="inlineStr" s="4">
        <is>
          <t xml:space="preserve">2028-04 &gt; Growth · $0.34</t>
        </is>
      </c>
      <c r="AC4" t="inlineStr" s="4">
        <is>
          <t xml:space="preserve">2028-04 &gt; Growth · $0.60</t>
        </is>
      </c>
      <c r="AD4" t="inlineStr" s="4">
        <is>
          <t xml:space="preserve">2028-07</t>
        </is>
      </c>
      <c r="AE4" t="inlineStr" s="4">
        <is>
          <t xml:space="preserve">2028-07 &gt; Base · $0.60</t>
        </is>
      </c>
      <c r="AF4" t="inlineStr" s="4">
        <is>
          <t xml:space="preserve">2028-07 &gt; Growth · $0.34</t>
        </is>
      </c>
      <c r="AG4" t="inlineStr" s="4">
        <is>
          <t xml:space="preserve">2028-07 &gt; Growth · $0.60</t>
        </is>
      </c>
    </row>
    <row r="5">
      <c r="A5" t="inlineStr" s="5">
        <is>
          <t xml:space="preserve">Jobs attempted</t>
        </is>
      </c>
      <c r="B5" s="6">
        <f>SUM('Model inputs'!K18,'Model inputs'!L18,'Model inputs'!M18)</f>
        <v>2000</v>
      </c>
      <c r="C5" s="6">
        <f>SUM('Model inputs'!K20,'Model inputs'!L20,'Model inputs'!M20)</f>
        <v>1700</v>
      </c>
      <c r="D5" s="6">
        <f>SUM('Model inputs'!K21,'Model inputs'!L21,'Model inputs'!M21)</f>
        <v>2250</v>
      </c>
      <c r="E5" s="6">
        <f>SUM('Model inputs'!K19,'Model inputs'!L19,'Model inputs'!M19)</f>
        <v>1912.5</v>
      </c>
      <c r="F5" s="6">
        <f>SUM('Model inputs'!N18,'Model inputs'!O18,'Model inputs'!P18)</f>
        <v>3000</v>
      </c>
      <c r="G5" s="6">
        <f>SUM('Model inputs'!N20,'Model inputs'!O20,'Model inputs'!P20)</f>
        <v>2550</v>
      </c>
      <c r="H5" s="6">
        <f>SUM('Model inputs'!N21,'Model inputs'!O21,'Model inputs'!P21)</f>
        <v>5957.03125</v>
      </c>
      <c r="I5" s="6">
        <f>SUM('Model inputs'!N19,'Model inputs'!O19,'Model inputs'!P19)</f>
        <v>5063.4765625</v>
      </c>
      <c r="J5" s="6">
        <f>SUM('Model inputs'!Q18,'Model inputs'!R18,'Model inputs'!S18)</f>
        <v>3000</v>
      </c>
      <c r="K5" s="6">
        <f>SUM('Model inputs'!Q20,'Model inputs'!R20,'Model inputs'!S20)</f>
        <v>2550</v>
      </c>
      <c r="L5" s="6">
        <f>SUM('Model inputs'!Q21,'Model inputs'!R21,'Model inputs'!S21)</f>
        <v>11634.82666015625</v>
      </c>
      <c r="M5" s="6">
        <f>SUM('Model inputs'!Q19,'Model inputs'!R19,'Model inputs'!S19)</f>
        <v>9889.602661132812</v>
      </c>
      <c r="N5" s="6">
        <f>SUM('Model inputs'!T18,'Model inputs'!U18,'Model inputs'!V18)</f>
        <v>3000</v>
      </c>
      <c r="O5" s="6">
        <f>SUM('Model inputs'!T20,'Model inputs'!U20,'Model inputs'!V20)</f>
        <v>2550</v>
      </c>
      <c r="P5" s="6">
        <f>SUM('Model inputs'!T21,'Model inputs'!U21,'Model inputs'!V21)</f>
        <v>22724.270820617676</v>
      </c>
      <c r="Q5" s="6">
        <f>SUM('Model inputs'!T19,'Model inputs'!U19,'Model inputs'!V19)</f>
        <v>19315.630197525024</v>
      </c>
      <c r="R5" s="6">
        <f>SUM('Model inputs'!W18,'Model inputs'!X18,'Model inputs'!Y18)</f>
        <v>3000</v>
      </c>
      <c r="S5" s="6">
        <f>SUM('Model inputs'!W20,'Model inputs'!X20,'Model inputs'!Y20)</f>
        <v>2550</v>
      </c>
      <c r="T5" s="6">
        <f>SUM('Model inputs'!W21,'Model inputs'!X21,'Model inputs'!Y21)</f>
        <v>34924.596548080444</v>
      </c>
      <c r="U5" s="6">
        <f>SUM('Model inputs'!W19,'Model inputs'!X19,'Model inputs'!Y19)</f>
        <v>29685.907065868378</v>
      </c>
      <c r="V5" s="6">
        <f>SUM('Model inputs'!Z18,'Model inputs'!AA18,'Model inputs'!AB18)</f>
        <v>3000</v>
      </c>
      <c r="W5" s="6">
        <f>SUM('Model inputs'!Z20,'Model inputs'!AA20,'Model inputs'!AB20)</f>
        <v>2550</v>
      </c>
      <c r="X5" s="6">
        <f>SUM('Model inputs'!Z21,'Model inputs'!AA21,'Model inputs'!AB21)</f>
        <v>34924.596548080444</v>
      </c>
      <c r="Y5" s="6">
        <f>SUM('Model inputs'!Z19,'Model inputs'!AA19,'Model inputs'!AB19)</f>
        <v>29685.907065868378</v>
      </c>
      <c r="Z5" s="6">
        <f>SUM('Model inputs'!AC18,'Model inputs'!AD18,'Model inputs'!AE18)</f>
        <v>3000</v>
      </c>
      <c r="AA5" s="6">
        <f>SUM('Model inputs'!AC20,'Model inputs'!AD20,'Model inputs'!AE20)</f>
        <v>2550</v>
      </c>
      <c r="AB5" s="6">
        <f>SUM('Model inputs'!AC21,'Model inputs'!AD21,'Model inputs'!AE21)</f>
        <v>34924.596548080444</v>
      </c>
      <c r="AC5" s="6">
        <f>SUM('Model inputs'!AC19,'Model inputs'!AD19,'Model inputs'!AE19)</f>
        <v>29685.907065868378</v>
      </c>
      <c r="AD5" s="6">
        <f>SUM('Model inputs'!AF18,'Model inputs'!AG18,'Model inputs'!AH18)</f>
        <v>3000</v>
      </c>
      <c r="AE5" s="6">
        <f>SUM('Model inputs'!AF20,'Model inputs'!AG20,'Model inputs'!AH20)</f>
        <v>2550</v>
      </c>
      <c r="AF5" s="6">
        <f>SUM('Model inputs'!AF21,'Model inputs'!AG21,'Model inputs'!AH21)</f>
        <v>34924.596548080444</v>
      </c>
      <c r="AG5" s="6">
        <f>SUM('Model inputs'!AF19,'Model inputs'!AG19,'Model inputs'!AH19)</f>
        <v>29685.907065868378</v>
      </c>
    </row>
    <row r="6">
      <c r="A6" t="inlineStr" s="7">
        <is>
          <t xml:space="preserve">Revenue</t>
        </is>
      </c>
      <c r="B6" s="8">
        <f>SUM('Model inputs'!K30,'Model inputs'!L30,'Model inputs'!M30)</f>
        <v>510.00000000000006</v>
      </c>
      <c r="C6" s="8">
        <f>SUM('Model inputs'!K32,'Model inputs'!L32,'Model inputs'!M32)</f>
        <v>765</v>
      </c>
      <c r="D6" s="8">
        <f>SUM('Model inputs'!K33,'Model inputs'!L33,'Model inputs'!M33)</f>
        <v>573.75</v>
      </c>
      <c r="E6" s="8">
        <f>SUM('Model inputs'!K31,'Model inputs'!L31,'Model inputs'!M31)</f>
        <v>860.625</v>
      </c>
      <c r="F6" s="8">
        <f>SUM('Model inputs'!N30,'Model inputs'!O30,'Model inputs'!P30)</f>
        <v>765.0000000000001</v>
      </c>
      <c r="G6" s="8">
        <f>SUM('Model inputs'!N32,'Model inputs'!O32,'Model inputs'!P32)</f>
        <v>1147.5</v>
      </c>
      <c r="H6" s="8">
        <f>SUM('Model inputs'!N33,'Model inputs'!O33,'Model inputs'!P33)</f>
        <v>1519.04296875</v>
      </c>
      <c r="I6" s="8">
        <f>SUM('Model inputs'!N31,'Model inputs'!O31,'Model inputs'!P31)</f>
        <v>2278.564453125</v>
      </c>
      <c r="J6" s="8">
        <f>SUM('Model inputs'!Q30,'Model inputs'!R30,'Model inputs'!S30)</f>
        <v>765.0000000000001</v>
      </c>
      <c r="K6" s="8">
        <f>SUM('Model inputs'!Q32,'Model inputs'!R32,'Model inputs'!S32)</f>
        <v>1147.5</v>
      </c>
      <c r="L6" s="8">
        <f>SUM('Model inputs'!Q33,'Model inputs'!R33,'Model inputs'!S33)</f>
        <v>2966.8807983398438</v>
      </c>
      <c r="M6" s="8">
        <f>SUM('Model inputs'!Q31,'Model inputs'!R31,'Model inputs'!S31)</f>
        <v>4450.321197509766</v>
      </c>
      <c r="N6" s="8">
        <f>SUM('Model inputs'!T30,'Model inputs'!U30,'Model inputs'!V30)</f>
        <v>765.0000000000001</v>
      </c>
      <c r="O6" s="8">
        <f>SUM('Model inputs'!T32,'Model inputs'!U32,'Model inputs'!V32)</f>
        <v>1147.5</v>
      </c>
      <c r="P6" s="8">
        <f>SUM('Model inputs'!T33,'Model inputs'!U33,'Model inputs'!V33)</f>
        <v>5794.689059257507</v>
      </c>
      <c r="Q6" s="8">
        <f>SUM('Model inputs'!T31,'Model inputs'!U31,'Model inputs'!V31)</f>
        <v>8692.033588886261</v>
      </c>
      <c r="R6" s="8">
        <f>SUM('Model inputs'!W30,'Model inputs'!X30,'Model inputs'!Y30)</f>
        <v>765.0000000000001</v>
      </c>
      <c r="S6" s="8">
        <f>SUM('Model inputs'!W32,'Model inputs'!X32,'Model inputs'!Y32)</f>
        <v>1147.5</v>
      </c>
      <c r="T6" s="8">
        <f>SUM('Model inputs'!W33,'Model inputs'!X33,'Model inputs'!Y33)</f>
        <v>8905.772119760513</v>
      </c>
      <c r="U6" s="8">
        <f>SUM('Model inputs'!W31,'Model inputs'!X31,'Model inputs'!Y31)</f>
        <v>13358.65817964077</v>
      </c>
      <c r="V6" s="8">
        <f>SUM('Model inputs'!Z30,'Model inputs'!AA30,'Model inputs'!AB30)</f>
        <v>765.0000000000001</v>
      </c>
      <c r="W6" s="8">
        <f>SUM('Model inputs'!Z32,'Model inputs'!AA32,'Model inputs'!AB32)</f>
        <v>1147.5</v>
      </c>
      <c r="X6" s="8">
        <f>SUM('Model inputs'!Z33,'Model inputs'!AA33,'Model inputs'!AB33)</f>
        <v>8905.772119760513</v>
      </c>
      <c r="Y6" s="8">
        <f>SUM('Model inputs'!Z31,'Model inputs'!AA31,'Model inputs'!AB31)</f>
        <v>13358.65817964077</v>
      </c>
      <c r="Z6" s="8">
        <f>SUM('Model inputs'!AC30,'Model inputs'!AD30,'Model inputs'!AE30)</f>
        <v>765.0000000000001</v>
      </c>
      <c r="AA6" s="8">
        <f>SUM('Model inputs'!AC32,'Model inputs'!AD32,'Model inputs'!AE32)</f>
        <v>1147.5</v>
      </c>
      <c r="AB6" s="8">
        <f>SUM('Model inputs'!AC33,'Model inputs'!AD33,'Model inputs'!AE33)</f>
        <v>8905.772119760513</v>
      </c>
      <c r="AC6" s="8">
        <f>SUM('Model inputs'!AC31,'Model inputs'!AD31,'Model inputs'!AE31)</f>
        <v>13358.65817964077</v>
      </c>
      <c r="AD6" s="8">
        <f>SUM('Model inputs'!AF30,'Model inputs'!AG30,'Model inputs'!AH30)</f>
        <v>765.0000000000001</v>
      </c>
      <c r="AE6" s="8">
        <f>SUM('Model inputs'!AF32,'Model inputs'!AG32,'Model inputs'!AH32)</f>
        <v>1147.5</v>
      </c>
      <c r="AF6" s="8">
        <f>SUM('Model inputs'!AF33,'Model inputs'!AG33,'Model inputs'!AH33)</f>
        <v>8905.772119760513</v>
      </c>
      <c r="AG6" s="8">
        <f>SUM('Model inputs'!AF31,'Model inputs'!AG31,'Model inputs'!AH31)</f>
        <v>13358.65817964077</v>
      </c>
    </row>
    <row r="7">
      <c r="A7" t="inlineStr" s="7">
        <is>
          <t xml:space="preserve">Gross profit</t>
        </is>
      </c>
      <c r="B7" s="8">
        <f>SUM('Model inputs'!K14,'Model inputs'!L14,'Model inputs'!M14)</f>
        <v>299.70000000000005</v>
      </c>
      <c r="C7" s="8">
        <f>SUM('Model inputs'!K16,'Model inputs'!L16,'Model inputs'!M16)</f>
        <v>576.3</v>
      </c>
      <c r="D7" s="8">
        <f>SUM('Model inputs'!K17,'Model inputs'!L17,'Model inputs'!M17)</f>
        <v>337.1625</v>
      </c>
      <c r="E7" s="8">
        <f>SUM('Model inputs'!K15,'Model inputs'!L15,'Model inputs'!M15)</f>
        <v>648.3375</v>
      </c>
      <c r="F7" s="8">
        <f>SUM('Model inputs'!N14,'Model inputs'!O14,'Model inputs'!P14)</f>
        <v>449.55000000000007</v>
      </c>
      <c r="G7" s="8">
        <f>SUM('Model inputs'!N16,'Model inputs'!O16,'Model inputs'!P16)</f>
        <v>864.4499999999999</v>
      </c>
      <c r="H7" s="8">
        <f>SUM('Model inputs'!N17,'Model inputs'!O17,'Model inputs'!P17)</f>
        <v>892.6611328125001</v>
      </c>
      <c r="I7" s="8">
        <f>SUM('Model inputs'!N15,'Model inputs'!O15,'Model inputs'!P15)</f>
        <v>1716.5185546875</v>
      </c>
      <c r="J7" s="8">
        <f>SUM('Model inputs'!Q14,'Model inputs'!R14,'Model inputs'!S14)</f>
        <v>449.55000000000007</v>
      </c>
      <c r="K7" s="8">
        <f>SUM('Model inputs'!Q16,'Model inputs'!R16,'Model inputs'!S16)</f>
        <v>864.4499999999999</v>
      </c>
      <c r="L7" s="8">
        <f>SUM('Model inputs'!Q17,'Model inputs'!R17,'Model inputs'!S17)</f>
        <v>1743.478775024414</v>
      </c>
      <c r="M7" s="8">
        <f>SUM('Model inputs'!Q15,'Model inputs'!R15,'Model inputs'!S15)</f>
        <v>3352.5753021240234</v>
      </c>
      <c r="N7" s="8">
        <f>SUM('Model inputs'!T14,'Model inputs'!U14,'Model inputs'!V14)</f>
        <v>449.55000000000007</v>
      </c>
      <c r="O7" s="8">
        <f>SUM('Model inputs'!T16,'Model inputs'!U16,'Model inputs'!V16)</f>
        <v>864.4499999999999</v>
      </c>
      <c r="P7" s="8">
        <f>SUM('Model inputs'!T17,'Model inputs'!U17,'Model inputs'!V17)</f>
        <v>3405.2319824695587</v>
      </c>
      <c r="Q7" s="8">
        <f>SUM('Model inputs'!T15,'Model inputs'!U15,'Model inputs'!V15)</f>
        <v>6547.998636960983</v>
      </c>
      <c r="R7" s="8">
        <f>SUM('Model inputs'!W14,'Model inputs'!X14,'Model inputs'!Y14)</f>
        <v>449.55000000000007</v>
      </c>
      <c r="S7" s="8">
        <f>SUM('Model inputs'!W16,'Model inputs'!X16,'Model inputs'!Y16)</f>
        <v>864.4499999999999</v>
      </c>
      <c r="T7" s="8">
        <f>SUM('Model inputs'!W17,'Model inputs'!X17,'Model inputs'!Y17)</f>
        <v>5233.450792729855</v>
      </c>
      <c r="U7" s="8">
        <f>SUM('Model inputs'!W15,'Model inputs'!X15,'Model inputs'!Y15)</f>
        <v>10063.52249532938</v>
      </c>
      <c r="V7" s="8">
        <f>SUM('Model inputs'!Z14,'Model inputs'!AA14,'Model inputs'!AB14)</f>
        <v>449.55000000000007</v>
      </c>
      <c r="W7" s="8">
        <f>SUM('Model inputs'!Z16,'Model inputs'!AA16,'Model inputs'!AB16)</f>
        <v>864.4499999999999</v>
      </c>
      <c r="X7" s="8">
        <f>SUM('Model inputs'!Z17,'Model inputs'!AA17,'Model inputs'!AB17)</f>
        <v>5233.450792729855</v>
      </c>
      <c r="Y7" s="8">
        <f>SUM('Model inputs'!Z15,'Model inputs'!AA15,'Model inputs'!AB15)</f>
        <v>10063.52249532938</v>
      </c>
      <c r="Z7" s="8">
        <f>SUM('Model inputs'!AC14,'Model inputs'!AD14,'Model inputs'!AE14)</f>
        <v>449.55000000000007</v>
      </c>
      <c r="AA7" s="8">
        <f>SUM('Model inputs'!AC16,'Model inputs'!AD16,'Model inputs'!AE16)</f>
        <v>864.4499999999999</v>
      </c>
      <c r="AB7" s="8">
        <f>SUM('Model inputs'!AC17,'Model inputs'!AD17,'Model inputs'!AE17)</f>
        <v>5233.450792729855</v>
      </c>
      <c r="AC7" s="8">
        <f>SUM('Model inputs'!AC15,'Model inputs'!AD15,'Model inputs'!AE15)</f>
        <v>10063.52249532938</v>
      </c>
      <c r="AD7" s="8">
        <f>SUM('Model inputs'!AF14,'Model inputs'!AG14,'Model inputs'!AH14)</f>
        <v>449.55000000000007</v>
      </c>
      <c r="AE7" s="8">
        <f>SUM('Model inputs'!AF16,'Model inputs'!AG16,'Model inputs'!AH16)</f>
        <v>864.4499999999999</v>
      </c>
      <c r="AF7" s="8">
        <f>SUM('Model inputs'!AF17,'Model inputs'!AG17,'Model inputs'!AH17)</f>
        <v>5233.450792729855</v>
      </c>
      <c r="AG7" s="8">
        <f>SUM('Model inputs'!AF15,'Model inputs'!AG15,'Model inputs'!AH15)</f>
        <v>10063.52249532938</v>
      </c>
    </row>
    <row r="8">
      <c r="A8" t="inlineStr" s="7">
        <is>
          <t xml:space="preserve">Operating profit</t>
        </is>
      </c>
      <c r="B8" s="8">
        <f>SUM('Model inputs'!K26,'Model inputs'!L26,'Model inputs'!M26)</f>
        <v>-210.29999999999995</v>
      </c>
      <c r="C8" s="8">
        <f>SUM('Model inputs'!K28,'Model inputs'!L28,'Model inputs'!M28)</f>
        <v>66.29999999999995</v>
      </c>
      <c r="D8" s="8">
        <f>SUM('Model inputs'!K29,'Model inputs'!L29,'Model inputs'!M29)</f>
        <v>-172.83749999999998</v>
      </c>
      <c r="E8" s="8">
        <f>SUM('Model inputs'!K27,'Model inputs'!L27,'Model inputs'!M27)</f>
        <v>138.33749999999998</v>
      </c>
      <c r="F8" s="8">
        <f>SUM('Model inputs'!N26,'Model inputs'!O26,'Model inputs'!P26)</f>
        <v>-60.44999999999993</v>
      </c>
      <c r="G8" s="8">
        <f>SUM('Model inputs'!N28,'Model inputs'!O28,'Model inputs'!P28)</f>
        <v>354.44999999999993</v>
      </c>
      <c r="H8" s="8">
        <f>SUM('Model inputs'!N29,'Model inputs'!O29,'Model inputs'!P29)</f>
        <v>382.6611328125001</v>
      </c>
      <c r="I8" s="8">
        <f>SUM('Model inputs'!N27,'Model inputs'!O27,'Model inputs'!P27)</f>
        <v>1206.5185546875</v>
      </c>
      <c r="J8" s="8">
        <f>SUM('Model inputs'!Q26,'Model inputs'!R26,'Model inputs'!S26)</f>
        <v>-60.44999999999993</v>
      </c>
      <c r="K8" s="8">
        <f>SUM('Model inputs'!Q28,'Model inputs'!R28,'Model inputs'!S28)</f>
        <v>354.44999999999993</v>
      </c>
      <c r="L8" s="8">
        <f>SUM('Model inputs'!Q29,'Model inputs'!R29,'Model inputs'!S29)</f>
        <v>1233.478775024414</v>
      </c>
      <c r="M8" s="8">
        <f>SUM('Model inputs'!Q27,'Model inputs'!R27,'Model inputs'!S27)</f>
        <v>2842.5753021240234</v>
      </c>
      <c r="N8" s="8">
        <f>SUM('Model inputs'!T26,'Model inputs'!U26,'Model inputs'!V26)</f>
        <v>-60.44999999999993</v>
      </c>
      <c r="O8" s="8">
        <f>SUM('Model inputs'!T28,'Model inputs'!U28,'Model inputs'!V28)</f>
        <v>354.44999999999993</v>
      </c>
      <c r="P8" s="8">
        <f>SUM('Model inputs'!T29,'Model inputs'!U29,'Model inputs'!V29)</f>
        <v>2895.2319824695587</v>
      </c>
      <c r="Q8" s="8">
        <f>SUM('Model inputs'!T27,'Model inputs'!U27,'Model inputs'!V27)</f>
        <v>6037.998636960983</v>
      </c>
      <c r="R8" s="8">
        <f>SUM('Model inputs'!W26,'Model inputs'!X26,'Model inputs'!Y26)</f>
        <v>-60.44999999999993</v>
      </c>
      <c r="S8" s="8">
        <f>SUM('Model inputs'!W28,'Model inputs'!X28,'Model inputs'!Y28)</f>
        <v>354.44999999999993</v>
      </c>
      <c r="T8" s="8">
        <f>SUM('Model inputs'!W29,'Model inputs'!X29,'Model inputs'!Y29)</f>
        <v>4723.450792729855</v>
      </c>
      <c r="U8" s="8">
        <f>SUM('Model inputs'!W27,'Model inputs'!X27,'Model inputs'!Y27)</f>
        <v>9553.52249532938</v>
      </c>
      <c r="V8" s="8">
        <f>SUM('Model inputs'!Z26,'Model inputs'!AA26,'Model inputs'!AB26)</f>
        <v>-60.44999999999993</v>
      </c>
      <c r="W8" s="8">
        <f>SUM('Model inputs'!Z28,'Model inputs'!AA28,'Model inputs'!AB28)</f>
        <v>354.44999999999993</v>
      </c>
      <c r="X8" s="8">
        <f>SUM('Model inputs'!Z29,'Model inputs'!AA29,'Model inputs'!AB29)</f>
        <v>4723.450792729855</v>
      </c>
      <c r="Y8" s="8">
        <f>SUM('Model inputs'!Z27,'Model inputs'!AA27,'Model inputs'!AB27)</f>
        <v>9553.52249532938</v>
      </c>
      <c r="Z8" s="8">
        <f>SUM('Model inputs'!AC26,'Model inputs'!AD26,'Model inputs'!AE26)</f>
        <v>-60.44999999999993</v>
      </c>
      <c r="AA8" s="8">
        <f>SUM('Model inputs'!AC28,'Model inputs'!AD28,'Model inputs'!AE28)</f>
        <v>354.44999999999993</v>
      </c>
      <c r="AB8" s="8">
        <f>SUM('Model inputs'!AC29,'Model inputs'!AD29,'Model inputs'!AE29)</f>
        <v>4723.450792729855</v>
      </c>
      <c r="AC8" s="8">
        <f>SUM('Model inputs'!AC27,'Model inputs'!AD27,'Model inputs'!AE27)</f>
        <v>9553.52249532938</v>
      </c>
      <c r="AD8" s="8">
        <f>SUM('Model inputs'!AF26,'Model inputs'!AG26,'Model inputs'!AH26)</f>
        <v>-60.44999999999993</v>
      </c>
      <c r="AE8" s="8">
        <f>SUM('Model inputs'!AF28,'Model inputs'!AG28,'Model inputs'!AH28)</f>
        <v>354.44999999999993</v>
      </c>
      <c r="AF8" s="8">
        <f>SUM('Model inputs'!AF29,'Model inputs'!AG29,'Model inputs'!AH29)</f>
        <v>4723.450792729855</v>
      </c>
      <c r="AG8" s="8">
        <f>SUM('Model inputs'!AF27,'Model inputs'!AG27,'Model inputs'!AH27)</f>
        <v>9553.52249532938</v>
      </c>
    </row>
    <row r="9">
      <c r="A9" t="inlineStr" s="7">
        <is>
          <t xml:space="preserve">Net cash flow</t>
        </is>
      </c>
      <c r="B9" s="8">
        <f>SUM('Model inputs'!K22,'Model inputs'!L22,'Model inputs'!M22)</f>
        <v>-457.65</v>
      </c>
      <c r="C9" s="8">
        <f>SUM('Model inputs'!K24,'Model inputs'!L24,'Model inputs'!M24)</f>
        <v>-304.725</v>
      </c>
      <c r="D9" s="8">
        <f>SUM('Model inputs'!K25,'Model inputs'!L25,'Model inputs'!M25)</f>
        <v>-482.025</v>
      </c>
      <c r="E9" s="8">
        <f>SUM('Model inputs'!K23,'Model inputs'!L23,'Model inputs'!M23)</f>
        <v>-325.44375</v>
      </c>
      <c r="F9" s="8">
        <f>SUM('Model inputs'!N22,'Model inputs'!O22,'Model inputs'!P22)</f>
        <v>-60.44999999999993</v>
      </c>
      <c r="G9" s="8">
        <f>SUM('Model inputs'!N24,'Model inputs'!O24,'Model inputs'!P24)</f>
        <v>354.44999999999993</v>
      </c>
      <c r="H9" s="8">
        <f>SUM('Model inputs'!N25,'Model inputs'!O25,'Model inputs'!P25)</f>
        <v>87.96679687500011</v>
      </c>
      <c r="I9" s="8">
        <f>SUM('Model inputs'!N23,'Model inputs'!O23,'Model inputs'!P23)</f>
        <v>764.47705078125</v>
      </c>
      <c r="J9" s="8">
        <f>SUM('Model inputs'!Q22,'Model inputs'!R22,'Model inputs'!S22)</f>
        <v>-60.44999999999993</v>
      </c>
      <c r="K9" s="8">
        <f>SUM('Model inputs'!Q24,'Model inputs'!R24,'Model inputs'!S24)</f>
        <v>354.44999999999993</v>
      </c>
      <c r="L9" s="8">
        <f>SUM('Model inputs'!Q25,'Model inputs'!R25,'Model inputs'!S25)</f>
        <v>657.9039001464845</v>
      </c>
      <c r="M9" s="8">
        <f>SUM('Model inputs'!Q23,'Model inputs'!R23,'Model inputs'!S23)</f>
        <v>1979.212989807129</v>
      </c>
      <c r="N9" s="8">
        <f>SUM('Model inputs'!T22,'Model inputs'!U22,'Model inputs'!V22)</f>
        <v>-60.44999999999993</v>
      </c>
      <c r="O9" s="8">
        <f>SUM('Model inputs'!T24,'Model inputs'!U24,'Model inputs'!V24)</f>
        <v>354.44999999999993</v>
      </c>
      <c r="P9" s="8">
        <f>SUM('Model inputs'!T25,'Model inputs'!U25,'Model inputs'!V25)</f>
        <v>1771.0623049736025</v>
      </c>
      <c r="Q9" s="8">
        <f>SUM('Model inputs'!T23,'Model inputs'!U23,'Model inputs'!V23)</f>
        <v>4351.744120717049</v>
      </c>
      <c r="R9" s="8">
        <f>SUM('Model inputs'!W22,'Model inputs'!X22,'Model inputs'!Y22)</f>
        <v>-60.44999999999993</v>
      </c>
      <c r="S9" s="8">
        <f>SUM('Model inputs'!W24,'Model inputs'!X24,'Model inputs'!Y24)</f>
        <v>354.44999999999993</v>
      </c>
      <c r="T9" s="8">
        <f>SUM('Model inputs'!W25,'Model inputs'!X25,'Model inputs'!Y25)</f>
        <v>4147.544195652008</v>
      </c>
      <c r="U9" s="8">
        <f>SUM('Model inputs'!W23,'Model inputs'!X23,'Model inputs'!Y23)</f>
        <v>8689.66259971261</v>
      </c>
      <c r="V9" s="8">
        <f>SUM('Model inputs'!Z22,'Model inputs'!AA22,'Model inputs'!AB22)</f>
        <v>-60.44999999999993</v>
      </c>
      <c r="W9" s="8">
        <f>SUM('Model inputs'!Z24,'Model inputs'!AA24,'Model inputs'!AB24)</f>
        <v>354.44999999999993</v>
      </c>
      <c r="X9" s="8">
        <f>SUM('Model inputs'!Z25,'Model inputs'!AA25,'Model inputs'!AB25)</f>
        <v>4723.450792729855</v>
      </c>
      <c r="Y9" s="8">
        <f>SUM('Model inputs'!Z23,'Model inputs'!AA23,'Model inputs'!AB23)</f>
        <v>9553.52249532938</v>
      </c>
      <c r="Z9" s="8">
        <f>SUM('Model inputs'!AC22,'Model inputs'!AD22,'Model inputs'!AE22)</f>
        <v>-60.44999999999993</v>
      </c>
      <c r="AA9" s="8">
        <f>SUM('Model inputs'!AC24,'Model inputs'!AD24,'Model inputs'!AE24)</f>
        <v>354.44999999999993</v>
      </c>
      <c r="AB9" s="8">
        <f>SUM('Model inputs'!AC25,'Model inputs'!AD25,'Model inputs'!AE25)</f>
        <v>4723.450792729855</v>
      </c>
      <c r="AC9" s="8">
        <f>SUM('Model inputs'!AC23,'Model inputs'!AD23,'Model inputs'!AE23)</f>
        <v>9553.52249532938</v>
      </c>
      <c r="AD9" s="8">
        <f>SUM('Model inputs'!AF22,'Model inputs'!AG22,'Model inputs'!AH22)</f>
        <v>-60.44999999999993</v>
      </c>
      <c r="AE9" s="8">
        <f>SUM('Model inputs'!AF24,'Model inputs'!AG24,'Model inputs'!AH24)</f>
        <v>354.44999999999993</v>
      </c>
      <c r="AF9" s="8">
        <f>SUM('Model inputs'!AF25,'Model inputs'!AG25,'Model inputs'!AH25)</f>
        <v>4723.450792729855</v>
      </c>
      <c r="AG9" s="8">
        <f>SUM('Model inputs'!AF23,'Model inputs'!AG23,'Model inputs'!AH23)</f>
        <v>9553.52249532938</v>
      </c>
    </row>
    <row r="10">
      <c r="A10" t="inlineStr" s="7">
        <is>
          <t xml:space="preserve">Cash balance</t>
        </is>
      </c>
      <c r="B10" s="8">
        <f>IF('Model inputs'!M6="","",'Model inputs'!M6)</f>
        <v>2542.35</v>
      </c>
      <c r="C10" s="8">
        <f>IF('Model inputs'!M8="","",'Model inputs'!M8)</f>
        <v>2695.275</v>
      </c>
      <c r="D10" s="8">
        <f>IF('Model inputs'!M9="","",'Model inputs'!M9)</f>
        <v>2517.975</v>
      </c>
      <c r="E10" s="8">
        <f>IF('Model inputs'!M7="","",'Model inputs'!M7)</f>
        <v>2674.55625</v>
      </c>
      <c r="F10" s="8">
        <f>IF('Model inputs'!P6="","",'Model inputs'!P6)</f>
        <v>2481.8999999999996</v>
      </c>
      <c r="G10" s="8">
        <f>IF('Model inputs'!P8="","",'Model inputs'!P8)</f>
        <v>3049.7250000000004</v>
      </c>
      <c r="H10" s="8">
        <f>IF('Model inputs'!P9="","",'Model inputs'!P9)</f>
        <v>2605.941796875</v>
      </c>
      <c r="I10" s="8">
        <f>IF('Model inputs'!P7="","",'Model inputs'!P7)</f>
        <v>3439.03330078125</v>
      </c>
      <c r="J10" s="8">
        <f>IF('Model inputs'!S6="","",'Model inputs'!S6)</f>
        <v>2421.4499999999994</v>
      </c>
      <c r="K10" s="8">
        <f>IF('Model inputs'!S8="","",'Model inputs'!S8)</f>
        <v>3404.1750000000006</v>
      </c>
      <c r="L10" s="8">
        <f>IF('Model inputs'!S9="","",'Model inputs'!S9)</f>
        <v>3263.8456970214843</v>
      </c>
      <c r="M10" s="8">
        <f>IF('Model inputs'!S7="","",'Model inputs'!S7)</f>
        <v>5418.2462905883785</v>
      </c>
      <c r="N10" s="8">
        <f>IF('Model inputs'!V6="","",'Model inputs'!V6)</f>
        <v>2360.999999999999</v>
      </c>
      <c r="O10" s="8">
        <f>IF('Model inputs'!V8="","",'Model inputs'!V8)</f>
        <v>3758.625000000001</v>
      </c>
      <c r="P10" s="8">
        <f>IF('Model inputs'!V9="","",'Model inputs'!V9)</f>
        <v>5034.908001995087</v>
      </c>
      <c r="Q10" s="8">
        <f>IF('Model inputs'!V7="","",'Model inputs'!V7)</f>
        <v>9769.990411305427</v>
      </c>
      <c r="R10" s="8">
        <f>IF('Model inputs'!Y6="","",'Model inputs'!Y6)</f>
        <v>2300.549999999999</v>
      </c>
      <c r="S10" s="8">
        <f>IF('Model inputs'!Y8="","",'Model inputs'!Y8)</f>
        <v>4113.075000000001</v>
      </c>
      <c r="T10" s="8">
        <f>IF('Model inputs'!Y9="","",'Model inputs'!Y9)</f>
        <v>9182.452197647095</v>
      </c>
      <c r="U10" s="8">
        <f>IF('Model inputs'!Y7="","",'Model inputs'!Y7)</f>
        <v>18459.65301101804</v>
      </c>
      <c r="V10" s="8">
        <f>IF('Model inputs'!AB6="","",'Model inputs'!AB6)</f>
        <v>2240.0999999999985</v>
      </c>
      <c r="W10" s="8">
        <f>IF('Model inputs'!AB8="","",'Model inputs'!AB8)</f>
        <v>4467.525</v>
      </c>
      <c r="X10" s="8">
        <f>IF('Model inputs'!AB9="","",'Model inputs'!AB9)</f>
        <v>13905.90299037695</v>
      </c>
      <c r="Y10" s="8">
        <f>IF('Model inputs'!AB7="","",'Model inputs'!AB7)</f>
        <v>28013.17550634742</v>
      </c>
      <c r="Z10" s="8">
        <f>IF('Model inputs'!AE6="","",'Model inputs'!AE6)</f>
        <v>2179.6499999999983</v>
      </c>
      <c r="AA10" s="8">
        <f>IF('Model inputs'!AE8="","",'Model inputs'!AE8)</f>
        <v>4821.9749999999985</v>
      </c>
      <c r="AB10" s="8">
        <f>IF('Model inputs'!AE9="","",'Model inputs'!AE9)</f>
        <v>18629.353783106802</v>
      </c>
      <c r="AC10" s="8">
        <f>IF('Model inputs'!AE7="","",'Model inputs'!AE7)</f>
        <v>37566.6980016768</v>
      </c>
      <c r="AD10" s="8">
        <f>IF('Model inputs'!AH6="","",'Model inputs'!AH6)</f>
        <v>2119.199999999998</v>
      </c>
      <c r="AE10" s="8">
        <f>IF('Model inputs'!AH8="","",'Model inputs'!AH8)</f>
        <v>5176.424999999997</v>
      </c>
      <c r="AF10" s="8">
        <f>IF('Model inputs'!AH9="","",'Model inputs'!AH9)</f>
        <v>23352.804575836657</v>
      </c>
      <c r="AG10" s="8">
        <f>IF('Model inputs'!AH7="","",'Model inputs'!AH7)</f>
        <v>47120.22049700618</v>
      </c>
    </row>
    <row r="11">
      <c r="A11" t="inlineStr" s="5">
        <is>
          <t xml:space="preserve">Cash balance with salary</t>
        </is>
      </c>
      <c r="B11" s="6">
        <f>IF('Model inputs'!M10="","",'Model inputs'!M10)</f>
        <v>-3457.65</v>
      </c>
      <c r="C11" s="6">
        <f>IF('Model inputs'!M12="","",'Model inputs'!M12)</f>
        <v>-3304.725</v>
      </c>
      <c r="D11" s="6">
        <f>IF('Model inputs'!M13="","",'Model inputs'!M13)</f>
        <v>-3482.025</v>
      </c>
      <c r="E11" s="6">
        <f>IF('Model inputs'!M11="","",'Model inputs'!M11)</f>
        <v>-3325.44375</v>
      </c>
      <c r="F11" s="6">
        <f>IF('Model inputs'!P10="","",'Model inputs'!P10)</f>
        <v>-9518.1</v>
      </c>
      <c r="G11" s="6">
        <f>IF('Model inputs'!P12="","",'Model inputs'!P12)</f>
        <v>-8950.275</v>
      </c>
      <c r="H11" s="6">
        <f>IF('Model inputs'!P13="","",'Model inputs'!P13)</f>
        <v>-9394.058203125</v>
      </c>
      <c r="I11" s="6">
        <f>IF('Model inputs'!P11="","",'Model inputs'!P11)</f>
        <v>-8560.96669921875</v>
      </c>
      <c r="J11" s="6">
        <f>IF('Model inputs'!S10="","",'Model inputs'!S10)</f>
        <v>-15578.55</v>
      </c>
      <c r="K11" s="6">
        <f>IF('Model inputs'!S12="","",'Model inputs'!S12)</f>
        <v>-14595.825</v>
      </c>
      <c r="L11" s="6">
        <f>IF('Model inputs'!S13="","",'Model inputs'!S13)</f>
        <v>-14736.154302978515</v>
      </c>
      <c r="M11" s="6">
        <f>IF('Model inputs'!S11="","",'Model inputs'!S11)</f>
        <v>-12581.753709411621</v>
      </c>
      <c r="N11" s="6">
        <f>IF('Model inputs'!V10="","",'Model inputs'!V10)</f>
        <v>-21639.000000000004</v>
      </c>
      <c r="O11" s="6">
        <f>IF('Model inputs'!V12="","",'Model inputs'!V12)</f>
        <v>-20241.374999999996</v>
      </c>
      <c r="P11" s="6">
        <f>IF('Model inputs'!V13="","",'Model inputs'!V13)</f>
        <v>-18965.091998004915</v>
      </c>
      <c r="Q11" s="6">
        <f>IF('Model inputs'!V11="","",'Model inputs'!V11)</f>
        <v>-14230.009588694573</v>
      </c>
      <c r="R11" s="6">
        <f>IF('Model inputs'!Y10="","",'Model inputs'!Y10)</f>
        <v>-27699.450000000008</v>
      </c>
      <c r="S11" s="6">
        <f>IF('Model inputs'!Y12="","",'Model inputs'!Y12)</f>
        <v>-25886.924999999992</v>
      </c>
      <c r="T11" s="6">
        <f>IF('Model inputs'!Y13="","",'Model inputs'!Y13)</f>
        <v>-20817.547802352907</v>
      </c>
      <c r="U11" s="6">
        <f>IF('Model inputs'!Y11="","",'Model inputs'!Y11)</f>
        <v>-11540.346988981963</v>
      </c>
      <c r="V11" s="6">
        <f>IF('Model inputs'!AB10="","",'Model inputs'!AB10)</f>
        <v>-33759.90000000001</v>
      </c>
      <c r="W11" s="6">
        <f>IF('Model inputs'!AB12="","",'Model inputs'!AB12)</f>
        <v>-31532.474999999988</v>
      </c>
      <c r="X11" s="6">
        <f>IF('Model inputs'!AB13="","",'Model inputs'!AB13)</f>
        <v>-22094.097009623052</v>
      </c>
      <c r="Y11" s="6">
        <f>IF('Model inputs'!AB11="","",'Model inputs'!AB11)</f>
        <v>-7986.8244936525825</v>
      </c>
      <c r="Z11" s="6">
        <f>IF('Model inputs'!AE10="","",'Model inputs'!AE10)</f>
        <v>-39820.35000000001</v>
      </c>
      <c r="AA11" s="6">
        <f>IF('Model inputs'!AE12="","",'Model inputs'!AE12)</f>
        <v>-37178.02499999999</v>
      </c>
      <c r="AB11" s="6">
        <f>IF('Model inputs'!AE13="","",'Model inputs'!AE13)</f>
        <v>-23370.646216893198</v>
      </c>
      <c r="AC11" s="6">
        <f>IF('Model inputs'!AE11="","",'Model inputs'!AE11)</f>
        <v>-4433.3019983232025</v>
      </c>
      <c r="AD11" s="6">
        <f>IF('Model inputs'!AH10="","",'Model inputs'!AH10)</f>
        <v>-45880.80000000002</v>
      </c>
      <c r="AE11" s="6">
        <f>IF('Model inputs'!AH12="","",'Model inputs'!AH12)</f>
        <v>-42823.57499999998</v>
      </c>
      <c r="AF11" s="6">
        <f>IF('Model inputs'!AH13="","",'Model inputs'!AH13)</f>
        <v>-24647.195424163343</v>
      </c>
      <c r="AG11" s="6">
        <f>IF('Model inputs'!AH11="","",'Model inputs'!AH11)</f>
        <v>-879.7795029938225</v>
      </c>
    </row>
  </sheetData>
  <mergeCells count="1">
    <mergeCell ref="A1:AG1"/>
  </mergeCells>
</worksheet>
</file>

<file path=xl/worksheets/sheet2.xml><?xml version="1.0" encoding="utf-8"?>
<worksheet xmlns="http://schemas.openxmlformats.org/spreadsheetml/2006/main">
  <dimension ref="A1:AI156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9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2026-01</t>
        </is>
      </c>
      <c r="C5" t="inlineStr" s="10">
        <is>
          <t xml:space="preserve">2026-02</t>
        </is>
      </c>
      <c r="D5" t="inlineStr" s="10">
        <is>
          <t xml:space="preserve">2026-03</t>
        </is>
      </c>
      <c r="E5" t="inlineStr" s="4">
        <is>
          <t xml:space="preserve">2026-04</t>
        </is>
      </c>
      <c r="F5" t="inlineStr" s="10">
        <is>
          <t xml:space="preserve">2026-05</t>
        </is>
      </c>
      <c r="G5" t="inlineStr" s="10">
        <is>
          <t xml:space="preserve">2026-06</t>
        </is>
      </c>
      <c r="H5" t="inlineStr" s="4">
        <is>
          <t xml:space="preserve">2026-07</t>
        </is>
      </c>
      <c r="I5" t="inlineStr" s="10">
        <is>
          <t xml:space="preserve">2026-08</t>
        </is>
      </c>
      <c r="J5" t="inlineStr" s="10">
        <is>
          <t xml:space="preserve">2026-09</t>
        </is>
      </c>
      <c r="K5" t="inlineStr" s="4">
        <is>
          <t xml:space="preserve">2026-10</t>
        </is>
      </c>
      <c r="L5" t="inlineStr" s="10">
        <is>
          <t xml:space="preserve">2026-11</t>
        </is>
      </c>
      <c r="M5" t="inlineStr" s="10">
        <is>
          <t xml:space="preserve">2026-12</t>
        </is>
      </c>
      <c r="N5" t="inlineStr" s="4">
        <is>
          <t xml:space="preserve">2027-01</t>
        </is>
      </c>
      <c r="O5" t="inlineStr" s="10">
        <is>
          <t xml:space="preserve">2027-02</t>
        </is>
      </c>
      <c r="P5" t="inlineStr" s="10">
        <is>
          <t xml:space="preserve">2027-03</t>
        </is>
      </c>
      <c r="Q5" t="inlineStr" s="4">
        <is>
          <t xml:space="preserve">2027-04</t>
        </is>
      </c>
      <c r="R5" t="inlineStr" s="10">
        <is>
          <t xml:space="preserve">2027-05</t>
        </is>
      </c>
      <c r="S5" t="inlineStr" s="10">
        <is>
          <t xml:space="preserve">2027-06</t>
        </is>
      </c>
      <c r="T5" t="inlineStr" s="4">
        <is>
          <t xml:space="preserve">2027-07</t>
        </is>
      </c>
      <c r="U5" t="inlineStr" s="10">
        <is>
          <t xml:space="preserve">2027-08</t>
        </is>
      </c>
      <c r="V5" t="inlineStr" s="10">
        <is>
          <t xml:space="preserve">2027-09</t>
        </is>
      </c>
      <c r="W5" t="inlineStr" s="4">
        <is>
          <t xml:space="preserve">2027-10</t>
        </is>
      </c>
      <c r="X5" t="inlineStr" s="10">
        <is>
          <t xml:space="preserve">2027-11</t>
        </is>
      </c>
      <c r="Y5" t="inlineStr" s="10">
        <is>
          <t xml:space="preserve">2027-12</t>
        </is>
      </c>
      <c r="Z5" t="inlineStr" s="4">
        <is>
          <t xml:space="preserve">2028-01</t>
        </is>
      </c>
      <c r="AA5" t="inlineStr" s="10">
        <is>
          <t xml:space="preserve">2028-02</t>
        </is>
      </c>
      <c r="AB5" t="inlineStr" s="10">
        <is>
          <t xml:space="preserve">2028-03</t>
        </is>
      </c>
      <c r="AC5" t="inlineStr" s="4">
        <is>
          <t xml:space="preserve">2028-04</t>
        </is>
      </c>
      <c r="AD5" t="inlineStr" s="10">
        <is>
          <t xml:space="preserve">2028-05</t>
        </is>
      </c>
      <c r="AE5" t="inlineStr" s="10">
        <is>
          <t xml:space="preserve">2028-06</t>
        </is>
      </c>
      <c r="AF5" t="inlineStr" s="4">
        <is>
          <t xml:space="preserve">2028-07</t>
        </is>
      </c>
      <c r="AG5" t="inlineStr" s="10">
        <is>
          <t xml:space="preserve">2028-08</t>
        </is>
      </c>
      <c r="AH5" t="inlineStr" s="10">
        <is>
          <t xml:space="preserve">2028-09</t>
        </is>
      </c>
      <c r="AI5" t="inlineStr" s="10">
        <is>
          <t xml:space="preserve">Value</t>
        </is>
      </c>
    </row>
    <row r="6">
      <c r="A6" t="inlineStr" s="11">
        <is>
          <t xml:space="preserve">Cash balance · Main Scenario</t>
        </is>
      </c>
      <c r="B6" s="8">
        <f>IF('Model inputs'!AI74="","",'Model inputs'!AI74)</f>
        <v>3000</v>
      </c>
      <c r="C6" s="8">
        <f>IF('Model inputs'!AI74="","",'Model inputs'!AI74)</f>
        <v>3000</v>
      </c>
      <c r="D6" s="8">
        <f>IF('Model inputs'!AI74="","",'Model inputs'!AI74)</f>
        <v>3000</v>
      </c>
      <c r="E6" s="8">
        <f>IF('Model inputs'!AI74="","",'Model inputs'!AI74)</f>
        <v>3000</v>
      </c>
      <c r="F6" s="8">
        <f>IF('Model inputs'!AI74="","",'Model inputs'!AI74)</f>
        <v>3000</v>
      </c>
      <c r="G6" s="8">
        <f>IF('Model inputs'!AI74="","",'Model inputs'!AI74)</f>
        <v>3000</v>
      </c>
      <c r="H6" s="8">
        <f>IF('Model inputs'!AI74="","",'Model inputs'!AI74)</f>
        <v>3000</v>
      </c>
      <c r="I6" s="8">
        <f>IF('Model inputs'!AI74="","",'Model inputs'!AI74)</f>
        <v>3000</v>
      </c>
      <c r="J6" s="8">
        <f>IF('Model inputs'!AI74="","",'Model inputs'!AI74)</f>
        <v>3000</v>
      </c>
      <c r="K6" s="8">
        <f>'Model inputs'!J6+'Model inputs'!K22</f>
        <v>2830</v>
      </c>
      <c r="L6" s="8">
        <f>'Model inputs'!K6+'Model inputs'!L22</f>
        <v>2562.5</v>
      </c>
      <c r="M6" s="8">
        <f>'Model inputs'!L6+'Model inputs'!M22</f>
        <v>2542.35</v>
      </c>
      <c r="N6" s="8">
        <f>'Model inputs'!M6+'Model inputs'!N22</f>
        <v>2522.2</v>
      </c>
      <c r="O6" s="8">
        <f>'Model inputs'!N6+'Model inputs'!O22</f>
        <v>2502.0499999999997</v>
      </c>
      <c r="P6" s="8">
        <f>'Model inputs'!O6+'Model inputs'!P22</f>
        <v>2481.8999999999996</v>
      </c>
      <c r="Q6" s="8">
        <f>'Model inputs'!P6+'Model inputs'!Q22</f>
        <v>2461.7499999999995</v>
      </c>
      <c r="R6" s="8">
        <f>'Model inputs'!Q6+'Model inputs'!R22</f>
        <v>2441.5999999999995</v>
      </c>
      <c r="S6" s="8">
        <f>'Model inputs'!R6+'Model inputs'!S22</f>
        <v>2421.4499999999994</v>
      </c>
      <c r="T6" s="8">
        <f>'Model inputs'!S6+'Model inputs'!T22</f>
        <v>2401.2999999999993</v>
      </c>
      <c r="U6" s="8">
        <f>'Model inputs'!T6+'Model inputs'!U22</f>
        <v>2381.149999999999</v>
      </c>
      <c r="V6" s="8">
        <f>'Model inputs'!U6+'Model inputs'!V22</f>
        <v>2360.999999999999</v>
      </c>
      <c r="W6" s="8">
        <f>'Model inputs'!V6+'Model inputs'!W22</f>
        <v>2340.849999999999</v>
      </c>
      <c r="X6" s="8">
        <f>'Model inputs'!W6+'Model inputs'!X22</f>
        <v>2320.699999999999</v>
      </c>
      <c r="Y6" s="8">
        <f>'Model inputs'!X6+'Model inputs'!Y22</f>
        <v>2300.549999999999</v>
      </c>
      <c r="Z6" s="8">
        <f>'Model inputs'!Y6+'Model inputs'!Z22</f>
        <v>2280.3999999999987</v>
      </c>
      <c r="AA6" s="8">
        <f>'Model inputs'!Z6+'Model inputs'!AA22</f>
        <v>2260.2499999999986</v>
      </c>
      <c r="AB6" s="8">
        <f>'Model inputs'!AA6+'Model inputs'!AB22</f>
        <v>2240.0999999999985</v>
      </c>
      <c r="AC6" s="8">
        <f>'Model inputs'!AB6+'Model inputs'!AC22</f>
        <v>2219.9499999999985</v>
      </c>
      <c r="AD6" s="8">
        <f>'Model inputs'!AC6+'Model inputs'!AD22</f>
        <v>2199.7999999999984</v>
      </c>
      <c r="AE6" s="8">
        <f>'Model inputs'!AD6+'Model inputs'!AE22</f>
        <v>2179.6499999999983</v>
      </c>
      <c r="AF6" s="8">
        <f>'Model inputs'!AE6+'Model inputs'!AF22</f>
        <v>2159.499999999998</v>
      </c>
      <c r="AG6" s="8">
        <f>'Model inputs'!AF6+'Model inputs'!AG22</f>
        <v>2139.349999999998</v>
      </c>
      <c r="AH6" s="8">
        <f>'Model inputs'!AG6+'Model inputs'!AH22</f>
        <v>2119.199999999998</v>
      </c>
    </row>
    <row r="7">
      <c r="A7" t="inlineStr" s="11">
        <is>
          <t xml:space="preserve">Cash balance · Growth · $0.60</t>
        </is>
      </c>
      <c r="B7" s="8">
        <f>IF('Model inputs'!AI75="","",'Model inputs'!AI75)</f>
        <v>3000</v>
      </c>
      <c r="C7" s="8">
        <f>IF('Model inputs'!AI75="","",'Model inputs'!AI75)</f>
        <v>3000</v>
      </c>
      <c r="D7" s="8">
        <f>IF('Model inputs'!AI75="","",'Model inputs'!AI75)</f>
        <v>3000</v>
      </c>
      <c r="E7" s="8">
        <f>IF('Model inputs'!AI75="","",'Model inputs'!AI75)</f>
        <v>3000</v>
      </c>
      <c r="F7" s="8">
        <f>IF('Model inputs'!AI75="","",'Model inputs'!AI75)</f>
        <v>3000</v>
      </c>
      <c r="G7" s="8">
        <f>IF('Model inputs'!AI75="","",'Model inputs'!AI75)</f>
        <v>3000</v>
      </c>
      <c r="H7" s="8">
        <f>IF('Model inputs'!AI75="","",'Model inputs'!AI75)</f>
        <v>3000</v>
      </c>
      <c r="I7" s="8">
        <f>IF('Model inputs'!AI75="","",'Model inputs'!AI75)</f>
        <v>3000</v>
      </c>
      <c r="J7" s="8">
        <f>IF('Model inputs'!AI75="","",'Model inputs'!AI75)</f>
        <v>3000</v>
      </c>
      <c r="K7" s="8">
        <f>'Model inputs'!J7+'Model inputs'!K23</f>
        <v>2830</v>
      </c>
      <c r="L7" s="8">
        <f>'Model inputs'!K7+'Model inputs'!L23</f>
        <v>2577.125</v>
      </c>
      <c r="M7" s="8">
        <f>'Model inputs'!L7+'Model inputs'!M23</f>
        <v>2674.55625</v>
      </c>
      <c r="N7" s="8">
        <f>'Model inputs'!M7+'Model inputs'!N23</f>
        <v>2838.8453125</v>
      </c>
      <c r="O7" s="8">
        <f>'Model inputs'!N7+'Model inputs'!O23</f>
        <v>3086.706640625</v>
      </c>
      <c r="P7" s="8">
        <f>'Model inputs'!O7+'Model inputs'!P23</f>
        <v>3439.03330078125</v>
      </c>
      <c r="Q7" s="8">
        <f>'Model inputs'!P7+'Model inputs'!Q23</f>
        <v>3921.9416259765626</v>
      </c>
      <c r="R7" s="8">
        <f>'Model inputs'!Q7+'Model inputs'!R23</f>
        <v>4568.077032470703</v>
      </c>
      <c r="S7" s="8">
        <f>'Model inputs'!R7+'Model inputs'!S23</f>
        <v>5418.2462905883785</v>
      </c>
      <c r="T7" s="8">
        <f>'Model inputs'!S7+'Model inputs'!T23</f>
        <v>6523.457863235473</v>
      </c>
      <c r="U7" s="8">
        <f>'Model inputs'!T7+'Model inputs'!U23</f>
        <v>7947.472329044342</v>
      </c>
      <c r="V7" s="8">
        <f>'Model inputs'!U7+'Model inputs'!V23</f>
        <v>9769.990411305427</v>
      </c>
      <c r="W7" s="8">
        <f>'Model inputs'!V7+'Model inputs'!W23</f>
        <v>12090.638014131784</v>
      </c>
      <c r="X7" s="8">
        <f>'Model inputs'!W7+'Model inputs'!X23</f>
        <v>15275.14551257491</v>
      </c>
      <c r="Y7" s="8">
        <f>'Model inputs'!X7+'Model inputs'!Y23</f>
        <v>18459.65301101804</v>
      </c>
      <c r="Z7" s="8">
        <f>'Model inputs'!Y7+'Model inputs'!Z23</f>
        <v>21644.160509461166</v>
      </c>
      <c r="AA7" s="8">
        <f>'Model inputs'!Z7+'Model inputs'!AA23</f>
        <v>24828.668007904293</v>
      </c>
      <c r="AB7" s="8">
        <f>'Model inputs'!AA7+'Model inputs'!AB23</f>
        <v>28013.17550634742</v>
      </c>
      <c r="AC7" s="8">
        <f>'Model inputs'!AB7+'Model inputs'!AC23</f>
        <v>31197.683004790546</v>
      </c>
      <c r="AD7" s="8">
        <f>'Model inputs'!AC7+'Model inputs'!AD23</f>
        <v>34382.19050323367</v>
      </c>
      <c r="AE7" s="8">
        <f>'Model inputs'!AD7+'Model inputs'!AE23</f>
        <v>37566.6980016768</v>
      </c>
      <c r="AF7" s="8">
        <f>'Model inputs'!AE7+'Model inputs'!AF23</f>
        <v>40751.205500119926</v>
      </c>
      <c r="AG7" s="8">
        <f>'Model inputs'!AF7+'Model inputs'!AG23</f>
        <v>43935.71299856305</v>
      </c>
      <c r="AH7" s="8">
        <f>'Model inputs'!AG7+'Model inputs'!AH23</f>
        <v>47120.22049700618</v>
      </c>
    </row>
    <row r="8">
      <c r="A8" t="inlineStr" s="11">
        <is>
          <t xml:space="preserve">Cash balance · Base · $0.60</t>
        </is>
      </c>
      <c r="B8" s="8">
        <f>IF('Model inputs'!AI76="","",'Model inputs'!AI76)</f>
        <v>3000</v>
      </c>
      <c r="C8" s="8">
        <f>IF('Model inputs'!AI76="","",'Model inputs'!AI76)</f>
        <v>3000</v>
      </c>
      <c r="D8" s="8">
        <f>IF('Model inputs'!AI76="","",'Model inputs'!AI76)</f>
        <v>3000</v>
      </c>
      <c r="E8" s="8">
        <f>IF('Model inputs'!AI76="","",'Model inputs'!AI76)</f>
        <v>3000</v>
      </c>
      <c r="F8" s="8">
        <f>IF('Model inputs'!AI76="","",'Model inputs'!AI76)</f>
        <v>3000</v>
      </c>
      <c r="G8" s="8">
        <f>IF('Model inputs'!AI76="","",'Model inputs'!AI76)</f>
        <v>3000</v>
      </c>
      <c r="H8" s="8">
        <f>IF('Model inputs'!AI76="","",'Model inputs'!AI76)</f>
        <v>3000</v>
      </c>
      <c r="I8" s="8">
        <f>IF('Model inputs'!AI76="","",'Model inputs'!AI76)</f>
        <v>3000</v>
      </c>
      <c r="J8" s="8">
        <f>IF('Model inputs'!AI76="","",'Model inputs'!AI76)</f>
        <v>3000</v>
      </c>
      <c r="K8" s="8">
        <f>'Model inputs'!J8+'Model inputs'!K24</f>
        <v>2830</v>
      </c>
      <c r="L8" s="8">
        <f>'Model inputs'!K8+'Model inputs'!L24</f>
        <v>2577.125</v>
      </c>
      <c r="M8" s="8">
        <f>'Model inputs'!L8+'Model inputs'!M24</f>
        <v>2695.275</v>
      </c>
      <c r="N8" s="8">
        <f>'Model inputs'!M8+'Model inputs'!N24</f>
        <v>2813.425</v>
      </c>
      <c r="O8" s="8">
        <f>'Model inputs'!N8+'Model inputs'!O24</f>
        <v>2931.5750000000003</v>
      </c>
      <c r="P8" s="8">
        <f>'Model inputs'!O8+'Model inputs'!P24</f>
        <v>3049.7250000000004</v>
      </c>
      <c r="Q8" s="8">
        <f>'Model inputs'!P8+'Model inputs'!Q24</f>
        <v>3167.8750000000005</v>
      </c>
      <c r="R8" s="8">
        <f>'Model inputs'!Q8+'Model inputs'!R24</f>
        <v>3286.0250000000005</v>
      </c>
      <c r="S8" s="8">
        <f>'Model inputs'!R8+'Model inputs'!S24</f>
        <v>3404.1750000000006</v>
      </c>
      <c r="T8" s="8">
        <f>'Model inputs'!S8+'Model inputs'!T24</f>
        <v>3522.3250000000007</v>
      </c>
      <c r="U8" s="8">
        <f>'Model inputs'!T8+'Model inputs'!U24</f>
        <v>3640.475000000001</v>
      </c>
      <c r="V8" s="8">
        <f>'Model inputs'!U8+'Model inputs'!V24</f>
        <v>3758.625000000001</v>
      </c>
      <c r="W8" s="8">
        <f>'Model inputs'!V8+'Model inputs'!W24</f>
        <v>3876.775000000001</v>
      </c>
      <c r="X8" s="8">
        <f>'Model inputs'!W8+'Model inputs'!X24</f>
        <v>3994.925000000001</v>
      </c>
      <c r="Y8" s="8">
        <f>'Model inputs'!X8+'Model inputs'!Y24</f>
        <v>4113.075000000001</v>
      </c>
      <c r="Z8" s="8">
        <f>'Model inputs'!Y8+'Model inputs'!Z24</f>
        <v>4231.225</v>
      </c>
      <c r="AA8" s="8">
        <f>'Model inputs'!Z8+'Model inputs'!AA24</f>
        <v>4349.375</v>
      </c>
      <c r="AB8" s="8">
        <f>'Model inputs'!AA8+'Model inputs'!AB24</f>
        <v>4467.525</v>
      </c>
      <c r="AC8" s="8">
        <f>'Model inputs'!AB8+'Model inputs'!AC24</f>
        <v>4585.674999999999</v>
      </c>
      <c r="AD8" s="8">
        <f>'Model inputs'!AC8+'Model inputs'!AD24</f>
        <v>4703.824999999999</v>
      </c>
      <c r="AE8" s="8">
        <f>'Model inputs'!AD8+'Model inputs'!AE24</f>
        <v>4821.9749999999985</v>
      </c>
      <c r="AF8" s="8">
        <f>'Model inputs'!AE8+'Model inputs'!AF24</f>
        <v>4940.124999999998</v>
      </c>
      <c r="AG8" s="8">
        <f>'Model inputs'!AF8+'Model inputs'!AG24</f>
        <v>5058.274999999998</v>
      </c>
      <c r="AH8" s="8">
        <f>'Model inputs'!AG8+'Model inputs'!AH24</f>
        <v>5176.424999999997</v>
      </c>
    </row>
    <row r="9">
      <c r="A9" t="inlineStr" s="11">
        <is>
          <t xml:space="preserve">Cash balance · Growth · $0.34</t>
        </is>
      </c>
      <c r="B9" s="8">
        <f>IF('Model inputs'!AI77="","",'Model inputs'!AI77)</f>
        <v>3000</v>
      </c>
      <c r="C9" s="8">
        <f>IF('Model inputs'!AI77="","",'Model inputs'!AI77)</f>
        <v>3000</v>
      </c>
      <c r="D9" s="8">
        <f>IF('Model inputs'!AI77="","",'Model inputs'!AI77)</f>
        <v>3000</v>
      </c>
      <c r="E9" s="8">
        <f>IF('Model inputs'!AI77="","",'Model inputs'!AI77)</f>
        <v>3000</v>
      </c>
      <c r="F9" s="8">
        <f>IF('Model inputs'!AI77="","",'Model inputs'!AI77)</f>
        <v>3000</v>
      </c>
      <c r="G9" s="8">
        <f>IF('Model inputs'!AI77="","",'Model inputs'!AI77)</f>
        <v>3000</v>
      </c>
      <c r="H9" s="8">
        <f>IF('Model inputs'!AI77="","",'Model inputs'!AI77)</f>
        <v>3000</v>
      </c>
      <c r="I9" s="8">
        <f>IF('Model inputs'!AI77="","",'Model inputs'!AI77)</f>
        <v>3000</v>
      </c>
      <c r="J9" s="8">
        <f>IF('Model inputs'!AI77="","",'Model inputs'!AI77)</f>
        <v>3000</v>
      </c>
      <c r="K9" s="8">
        <f>'Model inputs'!J9+'Model inputs'!K25</f>
        <v>2830</v>
      </c>
      <c r="L9" s="8">
        <f>'Model inputs'!K9+'Model inputs'!L25</f>
        <v>2562.5</v>
      </c>
      <c r="M9" s="8">
        <f>'Model inputs'!L9+'Model inputs'!M25</f>
        <v>2517.975</v>
      </c>
      <c r="N9" s="8">
        <f>'Model inputs'!M9+'Model inputs'!N25</f>
        <v>2504.81875</v>
      </c>
      <c r="O9" s="8">
        <f>'Model inputs'!N9+'Model inputs'!O25</f>
        <v>2530.8734375</v>
      </c>
      <c r="P9" s="8">
        <f>'Model inputs'!O9+'Model inputs'!P25</f>
        <v>2605.941796875</v>
      </c>
      <c r="Q9" s="8">
        <f>'Model inputs'!P9+'Model inputs'!Q25</f>
        <v>2742.27724609375</v>
      </c>
      <c r="R9" s="8">
        <f>'Model inputs'!Q9+'Model inputs'!R25</f>
        <v>2955.1965576171874</v>
      </c>
      <c r="S9" s="8">
        <f>'Model inputs'!R9+'Model inputs'!S25</f>
        <v>3263.8456970214843</v>
      </c>
      <c r="T9" s="8">
        <f>'Model inputs'!S9+'Model inputs'!T25</f>
        <v>3692.1571212768554</v>
      </c>
      <c r="U9" s="8">
        <f>'Model inputs'!T9+'Model inputs'!U25</f>
        <v>4270.04640159607</v>
      </c>
      <c r="V9" s="8">
        <f>'Model inputs'!U9+'Model inputs'!V25</f>
        <v>5034.908001995087</v>
      </c>
      <c r="W9" s="8">
        <f>'Model inputs'!V9+'Model inputs'!W25</f>
        <v>6033.485002493859</v>
      </c>
      <c r="X9" s="8">
        <f>'Model inputs'!W9+'Model inputs'!X25</f>
        <v>7607.968600070477</v>
      </c>
      <c r="Y9" s="8">
        <f>'Model inputs'!X9+'Model inputs'!Y25</f>
        <v>9182.452197647095</v>
      </c>
      <c r="Z9" s="8">
        <f>'Model inputs'!Y9+'Model inputs'!Z25</f>
        <v>10756.935795223713</v>
      </c>
      <c r="AA9" s="8">
        <f>'Model inputs'!Z9+'Model inputs'!AA25</f>
        <v>12331.419392800331</v>
      </c>
      <c r="AB9" s="8">
        <f>'Model inputs'!AA9+'Model inputs'!AB25</f>
        <v>13905.90299037695</v>
      </c>
      <c r="AC9" s="8">
        <f>'Model inputs'!AB9+'Model inputs'!AC25</f>
        <v>15480.386587953568</v>
      </c>
      <c r="AD9" s="8">
        <f>'Model inputs'!AC9+'Model inputs'!AD25</f>
        <v>17054.870185530184</v>
      </c>
      <c r="AE9" s="8">
        <f>'Model inputs'!AD9+'Model inputs'!AE25</f>
        <v>18629.353783106802</v>
      </c>
      <c r="AF9" s="8">
        <f>'Model inputs'!AE9+'Model inputs'!AF25</f>
        <v>20203.83738068342</v>
      </c>
      <c r="AG9" s="8">
        <f>'Model inputs'!AF9+'Model inputs'!AG25</f>
        <v>21778.32097826004</v>
      </c>
      <c r="AH9" s="8">
        <f>'Model inputs'!AG9+'Model inputs'!AH25</f>
        <v>23352.804575836657</v>
      </c>
    </row>
    <row r="10">
      <c r="A10" t="inlineStr" s="11">
        <is>
          <t xml:space="preserve">Cash balance with salary · Main Scenario</t>
        </is>
      </c>
      <c r="B10" s="8">
        <f>IF('Model inputs'!AI74="","",'Model inputs'!AI74)</f>
        <v>3000</v>
      </c>
      <c r="C10" s="8">
        <f>IF('Model inputs'!AI74="","",'Model inputs'!AI74)</f>
        <v>3000</v>
      </c>
      <c r="D10" s="8">
        <f>IF('Model inputs'!AI74="","",'Model inputs'!AI74)</f>
        <v>3000</v>
      </c>
      <c r="E10" s="8">
        <f>IF('Model inputs'!AI74="","",'Model inputs'!AI74)</f>
        <v>3000</v>
      </c>
      <c r="F10" s="8">
        <f>IF('Model inputs'!AI74="","",'Model inputs'!AI74)</f>
        <v>3000</v>
      </c>
      <c r="G10" s="8">
        <f>IF('Model inputs'!AI74="","",'Model inputs'!AI74)</f>
        <v>3000</v>
      </c>
      <c r="H10" s="8">
        <f>IF('Model inputs'!AI74="","",'Model inputs'!AI74)</f>
        <v>3000</v>
      </c>
      <c r="I10" s="8">
        <f>IF('Model inputs'!AI74="","",'Model inputs'!AI74)</f>
        <v>3000</v>
      </c>
      <c r="J10" s="8">
        <f>IF('Model inputs'!AI74="","",'Model inputs'!AI74)</f>
        <v>3000</v>
      </c>
      <c r="K10" s="8">
        <f>'Model inputs'!J10+'Model inputs'!K66</f>
        <v>830</v>
      </c>
      <c r="L10" s="8">
        <f>'Model inputs'!K10+'Model inputs'!L66</f>
        <v>-1437.5</v>
      </c>
      <c r="M10" s="8">
        <f>'Model inputs'!L10+'Model inputs'!M66</f>
        <v>-3457.65</v>
      </c>
      <c r="N10" s="8">
        <f>'Model inputs'!M10+'Model inputs'!N66</f>
        <v>-5477.8</v>
      </c>
      <c r="O10" s="8">
        <f>'Model inputs'!N10+'Model inputs'!O66</f>
        <v>-7497.950000000001</v>
      </c>
      <c r="P10" s="8">
        <f>'Model inputs'!O10+'Model inputs'!P66</f>
        <v>-9518.1</v>
      </c>
      <c r="Q10" s="8">
        <f>'Model inputs'!P10+'Model inputs'!Q66</f>
        <v>-11538.25</v>
      </c>
      <c r="R10" s="8">
        <f>'Model inputs'!Q10+'Model inputs'!R66</f>
        <v>-13558.4</v>
      </c>
      <c r="S10" s="8">
        <f>'Model inputs'!R10+'Model inputs'!S66</f>
        <v>-15578.55</v>
      </c>
      <c r="T10" s="8">
        <f>'Model inputs'!S10+'Model inputs'!T66</f>
        <v>-17598.7</v>
      </c>
      <c r="U10" s="8">
        <f>'Model inputs'!T10+'Model inputs'!U66</f>
        <v>-19618.850000000002</v>
      </c>
      <c r="V10" s="8">
        <f>'Model inputs'!U10+'Model inputs'!V66</f>
        <v>-21639.000000000004</v>
      </c>
      <c r="W10" s="8">
        <f>'Model inputs'!V10+'Model inputs'!W66</f>
        <v>-23659.150000000005</v>
      </c>
      <c r="X10" s="8">
        <f>'Model inputs'!W10+'Model inputs'!X66</f>
        <v>-25679.300000000007</v>
      </c>
      <c r="Y10" s="8">
        <f>'Model inputs'!X10+'Model inputs'!Y66</f>
        <v>-27699.450000000008</v>
      </c>
      <c r="Z10" s="8">
        <f>'Model inputs'!Y10+'Model inputs'!Z66</f>
        <v>-29719.60000000001</v>
      </c>
      <c r="AA10" s="8">
        <f>'Model inputs'!Z10+'Model inputs'!AA66</f>
        <v>-31739.75000000001</v>
      </c>
      <c r="AB10" s="8">
        <f>'Model inputs'!AA10+'Model inputs'!AB66</f>
        <v>-33759.90000000001</v>
      </c>
      <c r="AC10" s="8">
        <f>'Model inputs'!AB10+'Model inputs'!AC66</f>
        <v>-35780.05000000001</v>
      </c>
      <c r="AD10" s="8">
        <f>'Model inputs'!AC10+'Model inputs'!AD66</f>
        <v>-37800.20000000001</v>
      </c>
      <c r="AE10" s="8">
        <f>'Model inputs'!AD10+'Model inputs'!AE66</f>
        <v>-39820.35000000001</v>
      </c>
      <c r="AF10" s="8">
        <f>'Model inputs'!AE10+'Model inputs'!AF66</f>
        <v>-41840.500000000015</v>
      </c>
      <c r="AG10" s="8">
        <f>'Model inputs'!AF10+'Model inputs'!AG66</f>
        <v>-43860.650000000016</v>
      </c>
      <c r="AH10" s="8">
        <f>'Model inputs'!AG10+'Model inputs'!AH66</f>
        <v>-45880.80000000002</v>
      </c>
    </row>
    <row r="11">
      <c r="A11" t="inlineStr" s="11">
        <is>
          <t xml:space="preserve">Cash balance with salary · Growth · $0.60</t>
        </is>
      </c>
      <c r="B11" s="8">
        <f>IF('Model inputs'!AI75="","",'Model inputs'!AI75)</f>
        <v>3000</v>
      </c>
      <c r="C11" s="8">
        <f>IF('Model inputs'!AI75="","",'Model inputs'!AI75)</f>
        <v>3000</v>
      </c>
      <c r="D11" s="8">
        <f>IF('Model inputs'!AI75="","",'Model inputs'!AI75)</f>
        <v>3000</v>
      </c>
      <c r="E11" s="8">
        <f>IF('Model inputs'!AI75="","",'Model inputs'!AI75)</f>
        <v>3000</v>
      </c>
      <c r="F11" s="8">
        <f>IF('Model inputs'!AI75="","",'Model inputs'!AI75)</f>
        <v>3000</v>
      </c>
      <c r="G11" s="8">
        <f>IF('Model inputs'!AI75="","",'Model inputs'!AI75)</f>
        <v>3000</v>
      </c>
      <c r="H11" s="8">
        <f>IF('Model inputs'!AI75="","",'Model inputs'!AI75)</f>
        <v>3000</v>
      </c>
      <c r="I11" s="8">
        <f>IF('Model inputs'!AI75="","",'Model inputs'!AI75)</f>
        <v>3000</v>
      </c>
      <c r="J11" s="8">
        <f>IF('Model inputs'!AI75="","",'Model inputs'!AI75)</f>
        <v>3000</v>
      </c>
      <c r="K11" s="8">
        <f>'Model inputs'!J11+'Model inputs'!K67</f>
        <v>830</v>
      </c>
      <c r="L11" s="8">
        <f>'Model inputs'!K11+'Model inputs'!L67</f>
        <v>-1422.875</v>
      </c>
      <c r="M11" s="8">
        <f>'Model inputs'!L11+'Model inputs'!M67</f>
        <v>-3325.44375</v>
      </c>
      <c r="N11" s="8">
        <f>'Model inputs'!M11+'Model inputs'!N67</f>
        <v>-5161.1546875</v>
      </c>
      <c r="O11" s="8">
        <f>'Model inputs'!N11+'Model inputs'!O67</f>
        <v>-6913.293359375</v>
      </c>
      <c r="P11" s="8">
        <f>'Model inputs'!O11+'Model inputs'!P67</f>
        <v>-8560.96669921875</v>
      </c>
      <c r="Q11" s="8">
        <f>'Model inputs'!P11+'Model inputs'!Q67</f>
        <v>-10078.058374023438</v>
      </c>
      <c r="R11" s="8">
        <f>'Model inputs'!Q11+'Model inputs'!R67</f>
        <v>-11431.922967529297</v>
      </c>
      <c r="S11" s="8">
        <f>'Model inputs'!R11+'Model inputs'!S67</f>
        <v>-12581.753709411621</v>
      </c>
      <c r="T11" s="8">
        <f>'Model inputs'!S11+'Model inputs'!T67</f>
        <v>-13476.542136764527</v>
      </c>
      <c r="U11" s="8">
        <f>'Model inputs'!T11+'Model inputs'!U67</f>
        <v>-14052.527670955658</v>
      </c>
      <c r="V11" s="8">
        <f>'Model inputs'!U11+'Model inputs'!V67</f>
        <v>-14230.009588694573</v>
      </c>
      <c r="W11" s="8">
        <f>'Model inputs'!V11+'Model inputs'!W67</f>
        <v>-13909.361985868216</v>
      </c>
      <c r="X11" s="8">
        <f>'Model inputs'!W11+'Model inputs'!X67</f>
        <v>-12724.85448742509</v>
      </c>
      <c r="Y11" s="8">
        <f>'Model inputs'!X11+'Model inputs'!Y67</f>
        <v>-11540.346988981963</v>
      </c>
      <c r="Z11" s="8">
        <f>'Model inputs'!Y11+'Model inputs'!Z67</f>
        <v>-10355.839490538836</v>
      </c>
      <c r="AA11" s="8">
        <f>'Model inputs'!Z11+'Model inputs'!AA67</f>
        <v>-9171.33199209571</v>
      </c>
      <c r="AB11" s="8">
        <f>'Model inputs'!AA11+'Model inputs'!AB67</f>
        <v>-7986.8244936525825</v>
      </c>
      <c r="AC11" s="8">
        <f>'Model inputs'!AB11+'Model inputs'!AC67</f>
        <v>-6802.316995209456</v>
      </c>
      <c r="AD11" s="8">
        <f>'Model inputs'!AC11+'Model inputs'!AD67</f>
        <v>-5617.809496766329</v>
      </c>
      <c r="AE11" s="8">
        <f>'Model inputs'!AD11+'Model inputs'!AE67</f>
        <v>-4433.3019983232025</v>
      </c>
      <c r="AF11" s="8">
        <f>'Model inputs'!AE11+'Model inputs'!AF67</f>
        <v>-3248.794499880076</v>
      </c>
      <c r="AG11" s="8">
        <f>'Model inputs'!AF11+'Model inputs'!AG67</f>
        <v>-2064.287001436949</v>
      </c>
      <c r="AH11" s="8">
        <f>'Model inputs'!AG11+'Model inputs'!AH67</f>
        <v>-879.7795029938225</v>
      </c>
    </row>
    <row r="12">
      <c r="A12" t="inlineStr" s="11">
        <is>
          <t xml:space="preserve">Cash balance with salary · Base · $0.60</t>
        </is>
      </c>
      <c r="B12" s="8">
        <f>IF('Model inputs'!AI76="","",'Model inputs'!AI76)</f>
        <v>3000</v>
      </c>
      <c r="C12" s="8">
        <f>IF('Model inputs'!AI76="","",'Model inputs'!AI76)</f>
        <v>3000</v>
      </c>
      <c r="D12" s="8">
        <f>IF('Model inputs'!AI76="","",'Model inputs'!AI76)</f>
        <v>3000</v>
      </c>
      <c r="E12" s="8">
        <f>IF('Model inputs'!AI76="","",'Model inputs'!AI76)</f>
        <v>3000</v>
      </c>
      <c r="F12" s="8">
        <f>IF('Model inputs'!AI76="","",'Model inputs'!AI76)</f>
        <v>3000</v>
      </c>
      <c r="G12" s="8">
        <f>IF('Model inputs'!AI76="","",'Model inputs'!AI76)</f>
        <v>3000</v>
      </c>
      <c r="H12" s="8">
        <f>IF('Model inputs'!AI76="","",'Model inputs'!AI76)</f>
        <v>3000</v>
      </c>
      <c r="I12" s="8">
        <f>IF('Model inputs'!AI76="","",'Model inputs'!AI76)</f>
        <v>3000</v>
      </c>
      <c r="J12" s="8">
        <f>IF('Model inputs'!AI76="","",'Model inputs'!AI76)</f>
        <v>3000</v>
      </c>
      <c r="K12" s="8">
        <f>'Model inputs'!J12+'Model inputs'!K68</f>
        <v>830</v>
      </c>
      <c r="L12" s="8">
        <f>'Model inputs'!K12+'Model inputs'!L68</f>
        <v>-1422.875</v>
      </c>
      <c r="M12" s="8">
        <f>'Model inputs'!L12+'Model inputs'!M68</f>
        <v>-3304.725</v>
      </c>
      <c r="N12" s="8">
        <f>'Model inputs'!M12+'Model inputs'!N68</f>
        <v>-5186.575</v>
      </c>
      <c r="O12" s="8">
        <f>'Model inputs'!N12+'Model inputs'!O68</f>
        <v>-7068.424999999999</v>
      </c>
      <c r="P12" s="8">
        <f>'Model inputs'!O12+'Model inputs'!P68</f>
        <v>-8950.275</v>
      </c>
      <c r="Q12" s="8">
        <f>'Model inputs'!P12+'Model inputs'!Q68</f>
        <v>-10832.125</v>
      </c>
      <c r="R12" s="8">
        <f>'Model inputs'!Q12+'Model inputs'!R68</f>
        <v>-12713.975</v>
      </c>
      <c r="S12" s="8">
        <f>'Model inputs'!R12+'Model inputs'!S68</f>
        <v>-14595.825</v>
      </c>
      <c r="T12" s="8">
        <f>'Model inputs'!S12+'Model inputs'!T68</f>
        <v>-16477.675</v>
      </c>
      <c r="U12" s="8">
        <f>'Model inputs'!T12+'Model inputs'!U68</f>
        <v>-18359.524999999998</v>
      </c>
      <c r="V12" s="8">
        <f>'Model inputs'!U12+'Model inputs'!V68</f>
        <v>-20241.374999999996</v>
      </c>
      <c r="W12" s="8">
        <f>'Model inputs'!V12+'Model inputs'!W68</f>
        <v>-22123.224999999995</v>
      </c>
      <c r="X12" s="8">
        <f>'Model inputs'!W12+'Model inputs'!X68</f>
        <v>-24005.074999999993</v>
      </c>
      <c r="Y12" s="8">
        <f>'Model inputs'!X12+'Model inputs'!Y68</f>
        <v>-25886.924999999992</v>
      </c>
      <c r="Z12" s="8">
        <f>'Model inputs'!Y12+'Model inputs'!Z68</f>
        <v>-27768.77499999999</v>
      </c>
      <c r="AA12" s="8">
        <f>'Model inputs'!Z12+'Model inputs'!AA68</f>
        <v>-29650.62499999999</v>
      </c>
      <c r="AB12" s="8">
        <f>'Model inputs'!AA12+'Model inputs'!AB68</f>
        <v>-31532.474999999988</v>
      </c>
      <c r="AC12" s="8">
        <f>'Model inputs'!AB12+'Model inputs'!AC68</f>
        <v>-33414.32499999999</v>
      </c>
      <c r="AD12" s="8">
        <f>'Model inputs'!AC12+'Model inputs'!AD68</f>
        <v>-35296.17499999999</v>
      </c>
      <c r="AE12" s="8">
        <f>'Model inputs'!AD12+'Model inputs'!AE68</f>
        <v>-37178.02499999999</v>
      </c>
      <c r="AF12" s="8">
        <f>'Model inputs'!AE12+'Model inputs'!AF68</f>
        <v>-39059.874999999985</v>
      </c>
      <c r="AG12" s="8">
        <f>'Model inputs'!AF12+'Model inputs'!AG68</f>
        <v>-40941.724999999984</v>
      </c>
      <c r="AH12" s="8">
        <f>'Model inputs'!AG12+'Model inputs'!AH68</f>
        <v>-42823.57499999998</v>
      </c>
    </row>
    <row r="13">
      <c r="A13" t="inlineStr" s="11">
        <is>
          <t xml:space="preserve">Cash balance with salary · Growth · $0.34</t>
        </is>
      </c>
      <c r="B13" s="8">
        <f>IF('Model inputs'!AI77="","",'Model inputs'!AI77)</f>
        <v>3000</v>
      </c>
      <c r="C13" s="8">
        <f>IF('Model inputs'!AI77="","",'Model inputs'!AI77)</f>
        <v>3000</v>
      </c>
      <c r="D13" s="8">
        <f>IF('Model inputs'!AI77="","",'Model inputs'!AI77)</f>
        <v>3000</v>
      </c>
      <c r="E13" s="8">
        <f>IF('Model inputs'!AI77="","",'Model inputs'!AI77)</f>
        <v>3000</v>
      </c>
      <c r="F13" s="8">
        <f>IF('Model inputs'!AI77="","",'Model inputs'!AI77)</f>
        <v>3000</v>
      </c>
      <c r="G13" s="8">
        <f>IF('Model inputs'!AI77="","",'Model inputs'!AI77)</f>
        <v>3000</v>
      </c>
      <c r="H13" s="8">
        <f>IF('Model inputs'!AI77="","",'Model inputs'!AI77)</f>
        <v>3000</v>
      </c>
      <c r="I13" s="8">
        <f>IF('Model inputs'!AI77="","",'Model inputs'!AI77)</f>
        <v>3000</v>
      </c>
      <c r="J13" s="8">
        <f>IF('Model inputs'!AI77="","",'Model inputs'!AI77)</f>
        <v>3000</v>
      </c>
      <c r="K13" s="8">
        <f>'Model inputs'!J13+'Model inputs'!K69</f>
        <v>830</v>
      </c>
      <c r="L13" s="8">
        <f>'Model inputs'!K13+'Model inputs'!L69</f>
        <v>-1437.5</v>
      </c>
      <c r="M13" s="8">
        <f>'Model inputs'!L13+'Model inputs'!M69</f>
        <v>-3482.025</v>
      </c>
      <c r="N13" s="8">
        <f>'Model inputs'!M13+'Model inputs'!N69</f>
        <v>-5495.18125</v>
      </c>
      <c r="O13" s="8">
        <f>'Model inputs'!N13+'Model inputs'!O69</f>
        <v>-7469.1265625</v>
      </c>
      <c r="P13" s="8">
        <f>'Model inputs'!O13+'Model inputs'!P69</f>
        <v>-9394.058203125</v>
      </c>
      <c r="Q13" s="8">
        <f>'Model inputs'!P13+'Model inputs'!Q69</f>
        <v>-11257.72275390625</v>
      </c>
      <c r="R13" s="8">
        <f>'Model inputs'!Q13+'Model inputs'!R69</f>
        <v>-13044.803442382812</v>
      </c>
      <c r="S13" s="8">
        <f>'Model inputs'!R13+'Model inputs'!S69</f>
        <v>-14736.154302978515</v>
      </c>
      <c r="T13" s="8">
        <f>'Model inputs'!S13+'Model inputs'!T69</f>
        <v>-16307.842878723144</v>
      </c>
      <c r="U13" s="8">
        <f>'Model inputs'!T13+'Model inputs'!U69</f>
        <v>-17729.953598403932</v>
      </c>
      <c r="V13" s="8">
        <f>'Model inputs'!U13+'Model inputs'!V69</f>
        <v>-18965.091998004915</v>
      </c>
      <c r="W13" s="8">
        <f>'Model inputs'!V13+'Model inputs'!W69</f>
        <v>-19966.514997506143</v>
      </c>
      <c r="X13" s="8">
        <f>'Model inputs'!W13+'Model inputs'!X69</f>
        <v>-20392.031399929525</v>
      </c>
      <c r="Y13" s="8">
        <f>'Model inputs'!X13+'Model inputs'!Y69</f>
        <v>-20817.547802352907</v>
      </c>
      <c r="Z13" s="8">
        <f>'Model inputs'!Y13+'Model inputs'!Z69</f>
        <v>-21243.06420477629</v>
      </c>
      <c r="AA13" s="8">
        <f>'Model inputs'!Z13+'Model inputs'!AA69</f>
        <v>-21668.58060719967</v>
      </c>
      <c r="AB13" s="8">
        <f>'Model inputs'!AA13+'Model inputs'!AB69</f>
        <v>-22094.097009623052</v>
      </c>
      <c r="AC13" s="8">
        <f>'Model inputs'!AB13+'Model inputs'!AC69</f>
        <v>-22519.613412046434</v>
      </c>
      <c r="AD13" s="8">
        <f>'Model inputs'!AC13+'Model inputs'!AD69</f>
        <v>-22945.129814469816</v>
      </c>
      <c r="AE13" s="8">
        <f>'Model inputs'!AD13+'Model inputs'!AE69</f>
        <v>-23370.646216893198</v>
      </c>
      <c r="AF13" s="8">
        <f>'Model inputs'!AE13+'Model inputs'!AF69</f>
        <v>-23796.16261931658</v>
      </c>
      <c r="AG13" s="8">
        <f>'Model inputs'!AF13+'Model inputs'!AG69</f>
        <v>-24221.67902173996</v>
      </c>
      <c r="AH13" s="8">
        <f>'Model inputs'!AG13+'Model inputs'!AH69</f>
        <v>-24647.195424163343</v>
      </c>
    </row>
    <row r="14">
      <c r="A14" t="inlineStr" s="11">
        <is>
          <t xml:space="preserve">Gross profit · Main Scenario</t>
        </is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f>'Model inputs'!K30-'Model inputs'!K38</f>
        <v>0</v>
      </c>
      <c r="L14" s="8">
        <f>'Model inputs'!L30-'Model inputs'!L38</f>
        <v>149.85000000000002</v>
      </c>
      <c r="M14" s="8">
        <f>'Model inputs'!M30-'Model inputs'!M38</f>
        <v>149.85000000000002</v>
      </c>
      <c r="N14" s="8">
        <f>'Model inputs'!N30-'Model inputs'!N38</f>
        <v>149.85000000000002</v>
      </c>
      <c r="O14" s="8">
        <f>'Model inputs'!O30-'Model inputs'!O38</f>
        <v>149.85000000000002</v>
      </c>
      <c r="P14" s="8">
        <f>'Model inputs'!P30-'Model inputs'!P38</f>
        <v>149.85000000000002</v>
      </c>
      <c r="Q14" s="8">
        <f>'Model inputs'!Q30-'Model inputs'!Q38</f>
        <v>149.85000000000002</v>
      </c>
      <c r="R14" s="8">
        <f>'Model inputs'!R30-'Model inputs'!R38</f>
        <v>149.85000000000002</v>
      </c>
      <c r="S14" s="8">
        <f>'Model inputs'!S30-'Model inputs'!S38</f>
        <v>149.85000000000002</v>
      </c>
      <c r="T14" s="8">
        <f>'Model inputs'!T30-'Model inputs'!T38</f>
        <v>149.85000000000002</v>
      </c>
      <c r="U14" s="8">
        <f>'Model inputs'!U30-'Model inputs'!U38</f>
        <v>149.85000000000002</v>
      </c>
      <c r="V14" s="8">
        <f>'Model inputs'!V30-'Model inputs'!V38</f>
        <v>149.85000000000002</v>
      </c>
      <c r="W14" s="8">
        <f>'Model inputs'!W30-'Model inputs'!W38</f>
        <v>149.85000000000002</v>
      </c>
      <c r="X14" s="8">
        <f>'Model inputs'!X30-'Model inputs'!X38</f>
        <v>149.85000000000002</v>
      </c>
      <c r="Y14" s="8">
        <f>'Model inputs'!Y30-'Model inputs'!Y38</f>
        <v>149.85000000000002</v>
      </c>
      <c r="Z14" s="8">
        <f>'Model inputs'!Z30-'Model inputs'!Z38</f>
        <v>149.85000000000002</v>
      </c>
      <c r="AA14" s="8">
        <f>'Model inputs'!AA30-'Model inputs'!AA38</f>
        <v>149.85000000000002</v>
      </c>
      <c r="AB14" s="8">
        <f>'Model inputs'!AB30-'Model inputs'!AB38</f>
        <v>149.85000000000002</v>
      </c>
      <c r="AC14" s="8">
        <f>'Model inputs'!AC30-'Model inputs'!AC38</f>
        <v>149.85000000000002</v>
      </c>
      <c r="AD14" s="8">
        <f>'Model inputs'!AD30-'Model inputs'!AD38</f>
        <v>149.85000000000002</v>
      </c>
      <c r="AE14" s="8">
        <f>'Model inputs'!AE30-'Model inputs'!AE38</f>
        <v>149.85000000000002</v>
      </c>
      <c r="AF14" s="8">
        <f>'Model inputs'!AF30-'Model inputs'!AF38</f>
        <v>149.85000000000002</v>
      </c>
      <c r="AG14" s="8">
        <f>'Model inputs'!AG30-'Model inputs'!AG38</f>
        <v>149.85000000000002</v>
      </c>
      <c r="AH14" s="8">
        <f>'Model inputs'!AH30-'Model inputs'!AH38</f>
        <v>149.85000000000002</v>
      </c>
    </row>
    <row r="15">
      <c r="A15" t="inlineStr" s="11">
        <is>
          <t xml:space="preserve">Gross profit · Growth · $0.60</t>
        </is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f>'Model inputs'!K31-'Model inputs'!K39</f>
        <v>0</v>
      </c>
      <c r="L15" s="8">
        <f>'Model inputs'!L31-'Model inputs'!L39</f>
        <v>288.15</v>
      </c>
      <c r="M15" s="8">
        <f>'Model inputs'!M31-'Model inputs'!M39</f>
        <v>360.1875</v>
      </c>
      <c r="N15" s="8">
        <f>'Model inputs'!N31-'Model inputs'!N39</f>
        <v>450.234375</v>
      </c>
      <c r="O15" s="8">
        <f>'Model inputs'!O31-'Model inputs'!O39</f>
        <v>562.79296875</v>
      </c>
      <c r="P15" s="8">
        <f>'Model inputs'!P31-'Model inputs'!P39</f>
        <v>703.4912109375</v>
      </c>
      <c r="Q15" s="8">
        <f>'Model inputs'!Q31-'Model inputs'!Q39</f>
        <v>879.364013671875</v>
      </c>
      <c r="R15" s="8">
        <f>'Model inputs'!R31-'Model inputs'!R39</f>
        <v>1099.2050170898438</v>
      </c>
      <c r="S15" s="8">
        <f>'Model inputs'!S31-'Model inputs'!S39</f>
        <v>1374.0062713623047</v>
      </c>
      <c r="T15" s="8">
        <f>'Model inputs'!T31-'Model inputs'!T39</f>
        <v>1717.5078392028809</v>
      </c>
      <c r="U15" s="8">
        <f>'Model inputs'!U31-'Model inputs'!U39</f>
        <v>2146.884799003601</v>
      </c>
      <c r="V15" s="8">
        <f>'Model inputs'!V31-'Model inputs'!V39</f>
        <v>2683.6059987545013</v>
      </c>
      <c r="W15" s="8">
        <f>'Model inputs'!W31-'Model inputs'!W39</f>
        <v>3354.5074984431267</v>
      </c>
      <c r="X15" s="8">
        <f>'Model inputs'!X31-'Model inputs'!X39</f>
        <v>3354.5074984431267</v>
      </c>
      <c r="Y15" s="8">
        <f>'Model inputs'!Y31-'Model inputs'!Y39</f>
        <v>3354.5074984431267</v>
      </c>
      <c r="Z15" s="8">
        <f>'Model inputs'!Z31-'Model inputs'!Z39</f>
        <v>3354.5074984431267</v>
      </c>
      <c r="AA15" s="8">
        <f>'Model inputs'!AA31-'Model inputs'!AA39</f>
        <v>3354.5074984431267</v>
      </c>
      <c r="AB15" s="8">
        <f>'Model inputs'!AB31-'Model inputs'!AB39</f>
        <v>3354.5074984431267</v>
      </c>
      <c r="AC15" s="8">
        <f>'Model inputs'!AC31-'Model inputs'!AC39</f>
        <v>3354.5074984431267</v>
      </c>
      <c r="AD15" s="8">
        <f>'Model inputs'!AD31-'Model inputs'!AD39</f>
        <v>3354.5074984431267</v>
      </c>
      <c r="AE15" s="8">
        <f>'Model inputs'!AE31-'Model inputs'!AE39</f>
        <v>3354.5074984431267</v>
      </c>
      <c r="AF15" s="8">
        <f>'Model inputs'!AF31-'Model inputs'!AF39</f>
        <v>3354.5074984431267</v>
      </c>
      <c r="AG15" s="8">
        <f>'Model inputs'!AG31-'Model inputs'!AG39</f>
        <v>3354.5074984431267</v>
      </c>
      <c r="AH15" s="8">
        <f>'Model inputs'!AH31-'Model inputs'!AH39</f>
        <v>3354.5074984431267</v>
      </c>
    </row>
    <row r="16">
      <c r="A16" t="inlineStr" s="11">
        <is>
          <t xml:space="preserve">Gross profit · Base · $0.60</t>
        </is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f>'Model inputs'!K32-'Model inputs'!K40</f>
        <v>0</v>
      </c>
      <c r="L16" s="8">
        <f>'Model inputs'!L32-'Model inputs'!L40</f>
        <v>288.15</v>
      </c>
      <c r="M16" s="8">
        <f>'Model inputs'!M32-'Model inputs'!M40</f>
        <v>288.15</v>
      </c>
      <c r="N16" s="8">
        <f>'Model inputs'!N32-'Model inputs'!N40</f>
        <v>288.15</v>
      </c>
      <c r="O16" s="8">
        <f>'Model inputs'!O32-'Model inputs'!O40</f>
        <v>288.15</v>
      </c>
      <c r="P16" s="8">
        <f>'Model inputs'!P32-'Model inputs'!P40</f>
        <v>288.15</v>
      </c>
      <c r="Q16" s="8">
        <f>'Model inputs'!Q32-'Model inputs'!Q40</f>
        <v>288.15</v>
      </c>
      <c r="R16" s="8">
        <f>'Model inputs'!R32-'Model inputs'!R40</f>
        <v>288.15</v>
      </c>
      <c r="S16" s="8">
        <f>'Model inputs'!S32-'Model inputs'!S40</f>
        <v>288.15</v>
      </c>
      <c r="T16" s="8">
        <f>'Model inputs'!T32-'Model inputs'!T40</f>
        <v>288.15</v>
      </c>
      <c r="U16" s="8">
        <f>'Model inputs'!U32-'Model inputs'!U40</f>
        <v>288.15</v>
      </c>
      <c r="V16" s="8">
        <f>'Model inputs'!V32-'Model inputs'!V40</f>
        <v>288.15</v>
      </c>
      <c r="W16" s="8">
        <f>'Model inputs'!W32-'Model inputs'!W40</f>
        <v>288.15</v>
      </c>
      <c r="X16" s="8">
        <f>'Model inputs'!X32-'Model inputs'!X40</f>
        <v>288.15</v>
      </c>
      <c r="Y16" s="8">
        <f>'Model inputs'!Y32-'Model inputs'!Y40</f>
        <v>288.15</v>
      </c>
      <c r="Z16" s="8">
        <f>'Model inputs'!Z32-'Model inputs'!Z40</f>
        <v>288.15</v>
      </c>
      <c r="AA16" s="8">
        <f>'Model inputs'!AA32-'Model inputs'!AA40</f>
        <v>288.15</v>
      </c>
      <c r="AB16" s="8">
        <f>'Model inputs'!AB32-'Model inputs'!AB40</f>
        <v>288.15</v>
      </c>
      <c r="AC16" s="8">
        <f>'Model inputs'!AC32-'Model inputs'!AC40</f>
        <v>288.15</v>
      </c>
      <c r="AD16" s="8">
        <f>'Model inputs'!AD32-'Model inputs'!AD40</f>
        <v>288.15</v>
      </c>
      <c r="AE16" s="8">
        <f>'Model inputs'!AE32-'Model inputs'!AE40</f>
        <v>288.15</v>
      </c>
      <c r="AF16" s="8">
        <f>'Model inputs'!AF32-'Model inputs'!AF40</f>
        <v>288.15</v>
      </c>
      <c r="AG16" s="8">
        <f>'Model inputs'!AG32-'Model inputs'!AG40</f>
        <v>288.15</v>
      </c>
      <c r="AH16" s="8">
        <f>'Model inputs'!AH32-'Model inputs'!AH40</f>
        <v>288.15</v>
      </c>
    </row>
    <row r="17">
      <c r="A17" t="inlineStr" s="11">
        <is>
          <t xml:space="preserve">Gross profit · Growth · $0.34</t>
        </is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f>'Model inputs'!K33-'Model inputs'!K41</f>
        <v>0</v>
      </c>
      <c r="L17" s="8">
        <f>'Model inputs'!L33-'Model inputs'!L41</f>
        <v>149.85000000000002</v>
      </c>
      <c r="M17" s="8">
        <f>'Model inputs'!M33-'Model inputs'!M41</f>
        <v>187.3125</v>
      </c>
      <c r="N17" s="8">
        <f>'Model inputs'!N33-'Model inputs'!N41</f>
        <v>234.14062500000006</v>
      </c>
      <c r="O17" s="8">
        <f>'Model inputs'!O33-'Model inputs'!O41</f>
        <v>292.67578125000006</v>
      </c>
      <c r="P17" s="8">
        <f>'Model inputs'!P33-'Model inputs'!P41</f>
        <v>365.8447265625</v>
      </c>
      <c r="Q17" s="8">
        <f>'Model inputs'!Q33-'Model inputs'!Q41</f>
        <v>457.305908203125</v>
      </c>
      <c r="R17" s="8">
        <f>'Model inputs'!R33-'Model inputs'!R41</f>
        <v>571.6323852539064</v>
      </c>
      <c r="S17" s="8">
        <f>'Model inputs'!S33-'Model inputs'!S41</f>
        <v>714.5404815673828</v>
      </c>
      <c r="T17" s="8">
        <f>'Model inputs'!T33-'Model inputs'!T41</f>
        <v>893.1756019592285</v>
      </c>
      <c r="U17" s="8">
        <f>'Model inputs'!U33-'Model inputs'!U41</f>
        <v>1116.4695024490359</v>
      </c>
      <c r="V17" s="8">
        <f>'Model inputs'!V33-'Model inputs'!V41</f>
        <v>1395.5868780612946</v>
      </c>
      <c r="W17" s="8">
        <f>'Model inputs'!W33-'Model inputs'!W41</f>
        <v>1744.4835975766182</v>
      </c>
      <c r="X17" s="8">
        <f>'Model inputs'!X33-'Model inputs'!X41</f>
        <v>1744.4835975766182</v>
      </c>
      <c r="Y17" s="8">
        <f>'Model inputs'!Y33-'Model inputs'!Y41</f>
        <v>1744.4835975766182</v>
      </c>
      <c r="Z17" s="8">
        <f>'Model inputs'!Z33-'Model inputs'!Z41</f>
        <v>1744.4835975766182</v>
      </c>
      <c r="AA17" s="8">
        <f>'Model inputs'!AA33-'Model inputs'!AA41</f>
        <v>1744.4835975766182</v>
      </c>
      <c r="AB17" s="8">
        <f>'Model inputs'!AB33-'Model inputs'!AB41</f>
        <v>1744.4835975766182</v>
      </c>
      <c r="AC17" s="8">
        <f>'Model inputs'!AC33-'Model inputs'!AC41</f>
        <v>1744.4835975766182</v>
      </c>
      <c r="AD17" s="8">
        <f>'Model inputs'!AD33-'Model inputs'!AD41</f>
        <v>1744.4835975766182</v>
      </c>
      <c r="AE17" s="8">
        <f>'Model inputs'!AE33-'Model inputs'!AE41</f>
        <v>1744.4835975766182</v>
      </c>
      <c r="AF17" s="8">
        <f>'Model inputs'!AF33-'Model inputs'!AF41</f>
        <v>1744.4835975766182</v>
      </c>
      <c r="AG17" s="8">
        <f>'Model inputs'!AG33-'Model inputs'!AG41</f>
        <v>1744.4835975766182</v>
      </c>
      <c r="AH17" s="8">
        <f>'Model inputs'!AH33-'Model inputs'!AH41</f>
        <v>1744.4835975766182</v>
      </c>
    </row>
    <row r="18">
      <c r="A18" t="inlineStr" s="11">
        <is>
          <t xml:space="preserve">Jobs attempted · Main Scenario</t>
        </is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f>IF(IF(IF(ISERROR('Model inputs'!K62&lt;1),'Model inputs'!K62&lt;1,IF('Model inputs'!K62="","",'Model inputs'!K62&lt;1))="",FALSE,IF(ISERROR('Model inputs'!K62&lt;1),'Model inputs'!K62&lt;1,IF('Model inputs'!K62="","",'Model inputs'!K62&lt;1))),0,'Model inputs'!AI50*IF(AND((1+'Model inputs'!AI58)=0,(MIN('Model inputs'!K62,'Model inputs'!AI46)-1)=0),SQRT(-1),(1+'Model inputs'!AI58)^(MIN('Model inputs'!K62,'Model inputs'!AI46)-1))*'Model inputs'!AI82)</f>
        <v>0</v>
      </c>
      <c r="L18" s="8">
        <f>IF(IF(IF(ISERROR('Model inputs'!L62&lt;1),'Model inputs'!L62&lt;1,IF('Model inputs'!L62="","",'Model inputs'!L62&lt;1))="",FALSE,IF(ISERROR('Model inputs'!L62&lt;1),'Model inputs'!L62&lt;1,IF('Model inputs'!L62="","",'Model inputs'!L62&lt;1))),0,'Model inputs'!AI50*IF(AND((1+'Model inputs'!AI58)=0,(MIN('Model inputs'!L62,'Model inputs'!AI46)-1)=0),SQRT(-1),(1+'Model inputs'!AI58)^(MIN('Model inputs'!L62,'Model inputs'!AI46)-1))*'Model inputs'!AI82)</f>
        <v>1000</v>
      </c>
      <c r="M18" s="8">
        <f>IF(IF(IF(ISERROR('Model inputs'!M62&lt;1),'Model inputs'!M62&lt;1,IF('Model inputs'!M62="","",'Model inputs'!M62&lt;1))="",FALSE,IF(ISERROR('Model inputs'!M62&lt;1),'Model inputs'!M62&lt;1,IF('Model inputs'!M62="","",'Model inputs'!M62&lt;1))),0,'Model inputs'!AI50*IF(AND((1+'Model inputs'!AI58)=0,(MIN('Model inputs'!M62,'Model inputs'!AI46)-1)=0),SQRT(-1),(1+'Model inputs'!AI58)^(MIN('Model inputs'!M62,'Model inputs'!AI46)-1))*'Model inputs'!AI82)</f>
        <v>1000</v>
      </c>
      <c r="N18" s="8">
        <f>IF(IF(IF(ISERROR('Model inputs'!N62&lt;1),'Model inputs'!N62&lt;1,IF('Model inputs'!N62="","",'Model inputs'!N62&lt;1))="",FALSE,IF(ISERROR('Model inputs'!N62&lt;1),'Model inputs'!N62&lt;1,IF('Model inputs'!N62="","",'Model inputs'!N62&lt;1))),0,'Model inputs'!AI50*IF(AND((1+'Model inputs'!AI58)=0,(MIN('Model inputs'!N62,'Model inputs'!AI46)-1)=0),SQRT(-1),(1+'Model inputs'!AI58)^(MIN('Model inputs'!N62,'Model inputs'!AI46)-1))*'Model inputs'!AI82)</f>
        <v>1000</v>
      </c>
      <c r="O18" s="8">
        <f>IF(IF(IF(ISERROR('Model inputs'!O62&lt;1),'Model inputs'!O62&lt;1,IF('Model inputs'!O62="","",'Model inputs'!O62&lt;1))="",FALSE,IF(ISERROR('Model inputs'!O62&lt;1),'Model inputs'!O62&lt;1,IF('Model inputs'!O62="","",'Model inputs'!O62&lt;1))),0,'Model inputs'!AI50*IF(AND((1+'Model inputs'!AI58)=0,(MIN('Model inputs'!O62,'Model inputs'!AI46)-1)=0),SQRT(-1),(1+'Model inputs'!AI58)^(MIN('Model inputs'!O62,'Model inputs'!AI46)-1))*'Model inputs'!AI82)</f>
        <v>1000</v>
      </c>
      <c r="P18" s="8">
        <f>IF(IF(IF(ISERROR('Model inputs'!P62&lt;1),'Model inputs'!P62&lt;1,IF('Model inputs'!P62="","",'Model inputs'!P62&lt;1))="",FALSE,IF(ISERROR('Model inputs'!P62&lt;1),'Model inputs'!P62&lt;1,IF('Model inputs'!P62="","",'Model inputs'!P62&lt;1))),0,'Model inputs'!AI50*IF(AND((1+'Model inputs'!AI58)=0,(MIN('Model inputs'!P62,'Model inputs'!AI46)-1)=0),SQRT(-1),(1+'Model inputs'!AI58)^(MIN('Model inputs'!P62,'Model inputs'!AI46)-1))*'Model inputs'!AI82)</f>
        <v>1000</v>
      </c>
      <c r="Q18" s="8">
        <f>IF(IF(IF(ISERROR('Model inputs'!Q62&lt;1),'Model inputs'!Q62&lt;1,IF('Model inputs'!Q62="","",'Model inputs'!Q62&lt;1))="",FALSE,IF(ISERROR('Model inputs'!Q62&lt;1),'Model inputs'!Q62&lt;1,IF('Model inputs'!Q62="","",'Model inputs'!Q62&lt;1))),0,'Model inputs'!AI50*IF(AND((1+'Model inputs'!AI58)=0,(MIN('Model inputs'!Q62,'Model inputs'!AI46)-1)=0),SQRT(-1),(1+'Model inputs'!AI58)^(MIN('Model inputs'!Q62,'Model inputs'!AI46)-1))*'Model inputs'!AI82)</f>
        <v>1000</v>
      </c>
      <c r="R18" s="8">
        <f>IF(IF(IF(ISERROR('Model inputs'!R62&lt;1),'Model inputs'!R62&lt;1,IF('Model inputs'!R62="","",'Model inputs'!R62&lt;1))="",FALSE,IF(ISERROR('Model inputs'!R62&lt;1),'Model inputs'!R62&lt;1,IF('Model inputs'!R62="","",'Model inputs'!R62&lt;1))),0,'Model inputs'!AI50*IF(AND((1+'Model inputs'!AI58)=0,(MIN('Model inputs'!R62,'Model inputs'!AI46)-1)=0),SQRT(-1),(1+'Model inputs'!AI58)^(MIN('Model inputs'!R62,'Model inputs'!AI46)-1))*'Model inputs'!AI82)</f>
        <v>1000</v>
      </c>
      <c r="S18" s="8">
        <f>IF(IF(IF(ISERROR('Model inputs'!S62&lt;1),'Model inputs'!S62&lt;1,IF('Model inputs'!S62="","",'Model inputs'!S62&lt;1))="",FALSE,IF(ISERROR('Model inputs'!S62&lt;1),'Model inputs'!S62&lt;1,IF('Model inputs'!S62="","",'Model inputs'!S62&lt;1))),0,'Model inputs'!AI50*IF(AND((1+'Model inputs'!AI58)=0,(MIN('Model inputs'!S62,'Model inputs'!AI46)-1)=0),SQRT(-1),(1+'Model inputs'!AI58)^(MIN('Model inputs'!S62,'Model inputs'!AI46)-1))*'Model inputs'!AI82)</f>
        <v>1000</v>
      </c>
      <c r="T18" s="8">
        <f>IF(IF(IF(ISERROR('Model inputs'!T62&lt;1),'Model inputs'!T62&lt;1,IF('Model inputs'!T62="","",'Model inputs'!T62&lt;1))="",FALSE,IF(ISERROR('Model inputs'!T62&lt;1),'Model inputs'!T62&lt;1,IF('Model inputs'!T62="","",'Model inputs'!T62&lt;1))),0,'Model inputs'!AI50*IF(AND((1+'Model inputs'!AI58)=0,(MIN('Model inputs'!T62,'Model inputs'!AI46)-1)=0),SQRT(-1),(1+'Model inputs'!AI58)^(MIN('Model inputs'!T62,'Model inputs'!AI46)-1))*'Model inputs'!AI82)</f>
        <v>1000</v>
      </c>
      <c r="U18" s="8">
        <f>IF(IF(IF(ISERROR('Model inputs'!U62&lt;1),'Model inputs'!U62&lt;1,IF('Model inputs'!U62="","",'Model inputs'!U62&lt;1))="",FALSE,IF(ISERROR('Model inputs'!U62&lt;1),'Model inputs'!U62&lt;1,IF('Model inputs'!U62="","",'Model inputs'!U62&lt;1))),0,'Model inputs'!AI50*IF(AND((1+'Model inputs'!AI58)=0,(MIN('Model inputs'!U62,'Model inputs'!AI46)-1)=0),SQRT(-1),(1+'Model inputs'!AI58)^(MIN('Model inputs'!U62,'Model inputs'!AI46)-1))*'Model inputs'!AI82)</f>
        <v>1000</v>
      </c>
      <c r="V18" s="8">
        <f>IF(IF(IF(ISERROR('Model inputs'!V62&lt;1),'Model inputs'!V62&lt;1,IF('Model inputs'!V62="","",'Model inputs'!V62&lt;1))="",FALSE,IF(ISERROR('Model inputs'!V62&lt;1),'Model inputs'!V62&lt;1,IF('Model inputs'!V62="","",'Model inputs'!V62&lt;1))),0,'Model inputs'!AI50*IF(AND((1+'Model inputs'!AI58)=0,(MIN('Model inputs'!V62,'Model inputs'!AI46)-1)=0),SQRT(-1),(1+'Model inputs'!AI58)^(MIN('Model inputs'!V62,'Model inputs'!AI46)-1))*'Model inputs'!AI82)</f>
        <v>1000</v>
      </c>
      <c r="W18" s="8">
        <f>IF(IF(IF(ISERROR('Model inputs'!W62&lt;1),'Model inputs'!W62&lt;1,IF('Model inputs'!W62="","",'Model inputs'!W62&lt;1))="",FALSE,IF(ISERROR('Model inputs'!W62&lt;1),'Model inputs'!W62&lt;1,IF('Model inputs'!W62="","",'Model inputs'!W62&lt;1))),0,'Model inputs'!AI50*IF(AND((1+'Model inputs'!AI58)=0,(MIN('Model inputs'!W62,'Model inputs'!AI46)-1)=0),SQRT(-1),(1+'Model inputs'!AI58)^(MIN('Model inputs'!W62,'Model inputs'!AI46)-1))*'Model inputs'!AI82)</f>
        <v>1000</v>
      </c>
      <c r="X18" s="8">
        <f>IF(IF(IF(ISERROR('Model inputs'!X62&lt;1),'Model inputs'!X62&lt;1,IF('Model inputs'!X62="","",'Model inputs'!X62&lt;1))="",FALSE,IF(ISERROR('Model inputs'!X62&lt;1),'Model inputs'!X62&lt;1,IF('Model inputs'!X62="","",'Model inputs'!X62&lt;1))),0,'Model inputs'!AI50*IF(AND((1+'Model inputs'!AI58)=0,(MIN('Model inputs'!X62,'Model inputs'!AI46)-1)=0),SQRT(-1),(1+'Model inputs'!AI58)^(MIN('Model inputs'!X62,'Model inputs'!AI46)-1))*'Model inputs'!AI82)</f>
        <v>1000</v>
      </c>
      <c r="Y18" s="8">
        <f>IF(IF(IF(ISERROR('Model inputs'!Y62&lt;1),'Model inputs'!Y62&lt;1,IF('Model inputs'!Y62="","",'Model inputs'!Y62&lt;1))="",FALSE,IF(ISERROR('Model inputs'!Y62&lt;1),'Model inputs'!Y62&lt;1,IF('Model inputs'!Y62="","",'Model inputs'!Y62&lt;1))),0,'Model inputs'!AI50*IF(AND((1+'Model inputs'!AI58)=0,(MIN('Model inputs'!Y62,'Model inputs'!AI46)-1)=0),SQRT(-1),(1+'Model inputs'!AI58)^(MIN('Model inputs'!Y62,'Model inputs'!AI46)-1))*'Model inputs'!AI82)</f>
        <v>1000</v>
      </c>
      <c r="Z18" s="8">
        <f>IF(IF(IF(ISERROR('Model inputs'!Z62&lt;1),'Model inputs'!Z62&lt;1,IF('Model inputs'!Z62="","",'Model inputs'!Z62&lt;1))="",FALSE,IF(ISERROR('Model inputs'!Z62&lt;1),'Model inputs'!Z62&lt;1,IF('Model inputs'!Z62="","",'Model inputs'!Z62&lt;1))),0,'Model inputs'!AI50*IF(AND((1+'Model inputs'!AI58)=0,(MIN('Model inputs'!Z62,'Model inputs'!AI46)-1)=0),SQRT(-1),(1+'Model inputs'!AI58)^(MIN('Model inputs'!Z62,'Model inputs'!AI46)-1))*'Model inputs'!AI82)</f>
        <v>1000</v>
      </c>
      <c r="AA18" s="8">
        <f>IF(IF(IF(ISERROR('Model inputs'!AA62&lt;1),'Model inputs'!AA62&lt;1,IF('Model inputs'!AA62="","",'Model inputs'!AA62&lt;1))="",FALSE,IF(ISERROR('Model inputs'!AA62&lt;1),'Model inputs'!AA62&lt;1,IF('Model inputs'!AA62="","",'Model inputs'!AA62&lt;1))),0,'Model inputs'!AI50*IF(AND((1+'Model inputs'!AI58)=0,(MIN('Model inputs'!AA62,'Model inputs'!AI46)-1)=0),SQRT(-1),(1+'Model inputs'!AI58)^(MIN('Model inputs'!AA62,'Model inputs'!AI46)-1))*'Model inputs'!AI82)</f>
        <v>1000</v>
      </c>
      <c r="AB18" s="8">
        <f>IF(IF(IF(ISERROR('Model inputs'!AB62&lt;1),'Model inputs'!AB62&lt;1,IF('Model inputs'!AB62="","",'Model inputs'!AB62&lt;1))="",FALSE,IF(ISERROR('Model inputs'!AB62&lt;1),'Model inputs'!AB62&lt;1,IF('Model inputs'!AB62="","",'Model inputs'!AB62&lt;1))),0,'Model inputs'!AI50*IF(AND((1+'Model inputs'!AI58)=0,(MIN('Model inputs'!AB62,'Model inputs'!AI46)-1)=0),SQRT(-1),(1+'Model inputs'!AI58)^(MIN('Model inputs'!AB62,'Model inputs'!AI46)-1))*'Model inputs'!AI82)</f>
        <v>1000</v>
      </c>
      <c r="AC18" s="8">
        <f>IF(IF(IF(ISERROR('Model inputs'!AC62&lt;1),'Model inputs'!AC62&lt;1,IF('Model inputs'!AC62="","",'Model inputs'!AC62&lt;1))="",FALSE,IF(ISERROR('Model inputs'!AC62&lt;1),'Model inputs'!AC62&lt;1,IF('Model inputs'!AC62="","",'Model inputs'!AC62&lt;1))),0,'Model inputs'!AI50*IF(AND((1+'Model inputs'!AI58)=0,(MIN('Model inputs'!AC62,'Model inputs'!AI46)-1)=0),SQRT(-1),(1+'Model inputs'!AI58)^(MIN('Model inputs'!AC62,'Model inputs'!AI46)-1))*'Model inputs'!AI82)</f>
        <v>1000</v>
      </c>
      <c r="AD18" s="8">
        <f>IF(IF(IF(ISERROR('Model inputs'!AD62&lt;1),'Model inputs'!AD62&lt;1,IF('Model inputs'!AD62="","",'Model inputs'!AD62&lt;1))="",FALSE,IF(ISERROR('Model inputs'!AD62&lt;1),'Model inputs'!AD62&lt;1,IF('Model inputs'!AD62="","",'Model inputs'!AD62&lt;1))),0,'Model inputs'!AI50*IF(AND((1+'Model inputs'!AI58)=0,(MIN('Model inputs'!AD62,'Model inputs'!AI46)-1)=0),SQRT(-1),(1+'Model inputs'!AI58)^(MIN('Model inputs'!AD62,'Model inputs'!AI46)-1))*'Model inputs'!AI82)</f>
        <v>1000</v>
      </c>
      <c r="AE18" s="8">
        <f>IF(IF(IF(ISERROR('Model inputs'!AE62&lt;1),'Model inputs'!AE62&lt;1,IF('Model inputs'!AE62="","",'Model inputs'!AE62&lt;1))="",FALSE,IF(ISERROR('Model inputs'!AE62&lt;1),'Model inputs'!AE62&lt;1,IF('Model inputs'!AE62="","",'Model inputs'!AE62&lt;1))),0,'Model inputs'!AI50*IF(AND((1+'Model inputs'!AI58)=0,(MIN('Model inputs'!AE62,'Model inputs'!AI46)-1)=0),SQRT(-1),(1+'Model inputs'!AI58)^(MIN('Model inputs'!AE62,'Model inputs'!AI46)-1))*'Model inputs'!AI82)</f>
        <v>1000</v>
      </c>
      <c r="AF18" s="8">
        <f>IF(IF(IF(ISERROR('Model inputs'!AF62&lt;1),'Model inputs'!AF62&lt;1,IF('Model inputs'!AF62="","",'Model inputs'!AF62&lt;1))="",FALSE,IF(ISERROR('Model inputs'!AF62&lt;1),'Model inputs'!AF62&lt;1,IF('Model inputs'!AF62="","",'Model inputs'!AF62&lt;1))),0,'Model inputs'!AI50*IF(AND((1+'Model inputs'!AI58)=0,(MIN('Model inputs'!AF62,'Model inputs'!AI46)-1)=0),SQRT(-1),(1+'Model inputs'!AI58)^(MIN('Model inputs'!AF62,'Model inputs'!AI46)-1))*'Model inputs'!AI82)</f>
        <v>1000</v>
      </c>
      <c r="AG18" s="8">
        <f>IF(IF(IF(ISERROR('Model inputs'!AG62&lt;1),'Model inputs'!AG62&lt;1,IF('Model inputs'!AG62="","",'Model inputs'!AG62&lt;1))="",FALSE,IF(ISERROR('Model inputs'!AG62&lt;1),'Model inputs'!AG62&lt;1,IF('Model inputs'!AG62="","",'Model inputs'!AG62&lt;1))),0,'Model inputs'!AI50*IF(AND((1+'Model inputs'!AI58)=0,(MIN('Model inputs'!AG62,'Model inputs'!AI46)-1)=0),SQRT(-1),(1+'Model inputs'!AI58)^(MIN('Model inputs'!AG62,'Model inputs'!AI46)-1))*'Model inputs'!AI82)</f>
        <v>1000</v>
      </c>
      <c r="AH18" s="8">
        <f>IF(IF(IF(ISERROR('Model inputs'!AH62&lt;1),'Model inputs'!AH62&lt;1,IF('Model inputs'!AH62="","",'Model inputs'!AH62&lt;1))="",FALSE,IF(ISERROR('Model inputs'!AH62&lt;1),'Model inputs'!AH62&lt;1,IF('Model inputs'!AH62="","",'Model inputs'!AH62&lt;1))),0,'Model inputs'!AI50*IF(AND((1+'Model inputs'!AI58)=0,(MIN('Model inputs'!AH62,'Model inputs'!AI46)-1)=0),SQRT(-1),(1+'Model inputs'!AI58)^(MIN('Model inputs'!AH62,'Model inputs'!AI46)-1))*'Model inputs'!AI82)</f>
        <v>1000</v>
      </c>
    </row>
    <row r="19">
      <c r="A19" t="inlineStr" s="11">
        <is>
          <t xml:space="preserve">Jobs attempted · Growth · $0.60</t>
        </is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f>IF(IF(IF(ISERROR('Model inputs'!K63&lt;1),'Model inputs'!K63&lt;1,IF('Model inputs'!K63="","",'Model inputs'!K63&lt;1))="",FALSE,IF(ISERROR('Model inputs'!K63&lt;1),'Model inputs'!K63&lt;1,IF('Model inputs'!K63="","",'Model inputs'!K63&lt;1))),0,'Model inputs'!AI51*IF(AND((1+'Model inputs'!AI59)=0,(MIN('Model inputs'!K63,'Model inputs'!AI47)-1)=0),SQRT(-1),(1+'Model inputs'!AI59)^(MIN('Model inputs'!K63,'Model inputs'!AI47)-1))*'Model inputs'!AI83)</f>
        <v>0</v>
      </c>
      <c r="L19" s="8">
        <f>IF(IF(IF(ISERROR('Model inputs'!L63&lt;1),'Model inputs'!L63&lt;1,IF('Model inputs'!L63="","",'Model inputs'!L63&lt;1))="",FALSE,IF(ISERROR('Model inputs'!L63&lt;1),'Model inputs'!L63&lt;1,IF('Model inputs'!L63="","",'Model inputs'!L63&lt;1))),0,'Model inputs'!AI51*IF(AND((1+'Model inputs'!AI59)=0,(MIN('Model inputs'!L63,'Model inputs'!AI47)-1)=0),SQRT(-1),(1+'Model inputs'!AI59)^(MIN('Model inputs'!L63,'Model inputs'!AI47)-1))*'Model inputs'!AI83)</f>
        <v>850</v>
      </c>
      <c r="M19" s="8">
        <f>IF(IF(IF(ISERROR('Model inputs'!M63&lt;1),'Model inputs'!M63&lt;1,IF('Model inputs'!M63="","",'Model inputs'!M63&lt;1))="",FALSE,IF(ISERROR('Model inputs'!M63&lt;1),'Model inputs'!M63&lt;1,IF('Model inputs'!M63="","",'Model inputs'!M63&lt;1))),0,'Model inputs'!AI51*IF(AND((1+'Model inputs'!AI59)=0,(MIN('Model inputs'!M63,'Model inputs'!AI47)-1)=0),SQRT(-1),(1+'Model inputs'!AI59)^(MIN('Model inputs'!M63,'Model inputs'!AI47)-1))*'Model inputs'!AI83)</f>
        <v>1062.5</v>
      </c>
      <c r="N19" s="8">
        <f>IF(IF(IF(ISERROR('Model inputs'!N63&lt;1),'Model inputs'!N63&lt;1,IF('Model inputs'!N63="","",'Model inputs'!N63&lt;1))="",FALSE,IF(ISERROR('Model inputs'!N63&lt;1),'Model inputs'!N63&lt;1,IF('Model inputs'!N63="","",'Model inputs'!N63&lt;1))),0,'Model inputs'!AI51*IF(AND((1+'Model inputs'!AI59)=0,(MIN('Model inputs'!N63,'Model inputs'!AI47)-1)=0),SQRT(-1),(1+'Model inputs'!AI59)^(MIN('Model inputs'!N63,'Model inputs'!AI47)-1))*'Model inputs'!AI83)</f>
        <v>1328.125</v>
      </c>
      <c r="O19" s="8">
        <f>IF(IF(IF(ISERROR('Model inputs'!O63&lt;1),'Model inputs'!O63&lt;1,IF('Model inputs'!O63="","",'Model inputs'!O63&lt;1))="",FALSE,IF(ISERROR('Model inputs'!O63&lt;1),'Model inputs'!O63&lt;1,IF('Model inputs'!O63="","",'Model inputs'!O63&lt;1))),0,'Model inputs'!AI51*IF(AND((1+'Model inputs'!AI59)=0,(MIN('Model inputs'!O63,'Model inputs'!AI47)-1)=0),SQRT(-1),(1+'Model inputs'!AI59)^(MIN('Model inputs'!O63,'Model inputs'!AI47)-1))*'Model inputs'!AI83)</f>
        <v>1660.15625</v>
      </c>
      <c r="P19" s="8">
        <f>IF(IF(IF(ISERROR('Model inputs'!P63&lt;1),'Model inputs'!P63&lt;1,IF('Model inputs'!P63="","",'Model inputs'!P63&lt;1))="",FALSE,IF(ISERROR('Model inputs'!P63&lt;1),'Model inputs'!P63&lt;1,IF('Model inputs'!P63="","",'Model inputs'!P63&lt;1))),0,'Model inputs'!AI51*IF(AND((1+'Model inputs'!AI59)=0,(MIN('Model inputs'!P63,'Model inputs'!AI47)-1)=0),SQRT(-1),(1+'Model inputs'!AI59)^(MIN('Model inputs'!P63,'Model inputs'!AI47)-1))*'Model inputs'!AI83)</f>
        <v>2075.1953125</v>
      </c>
      <c r="Q19" s="8">
        <f>IF(IF(IF(ISERROR('Model inputs'!Q63&lt;1),'Model inputs'!Q63&lt;1,IF('Model inputs'!Q63="","",'Model inputs'!Q63&lt;1))="",FALSE,IF(ISERROR('Model inputs'!Q63&lt;1),'Model inputs'!Q63&lt;1,IF('Model inputs'!Q63="","",'Model inputs'!Q63&lt;1))),0,'Model inputs'!AI51*IF(AND((1+'Model inputs'!AI59)=0,(MIN('Model inputs'!Q63,'Model inputs'!AI47)-1)=0),SQRT(-1),(1+'Model inputs'!AI59)^(MIN('Model inputs'!Q63,'Model inputs'!AI47)-1))*'Model inputs'!AI83)</f>
        <v>2593.994140625</v>
      </c>
      <c r="R19" s="8">
        <f>IF(IF(IF(ISERROR('Model inputs'!R63&lt;1),'Model inputs'!R63&lt;1,IF('Model inputs'!R63="","",'Model inputs'!R63&lt;1))="",FALSE,IF(ISERROR('Model inputs'!R63&lt;1),'Model inputs'!R63&lt;1,IF('Model inputs'!R63="","",'Model inputs'!R63&lt;1))),0,'Model inputs'!AI51*IF(AND((1+'Model inputs'!AI59)=0,(MIN('Model inputs'!R63,'Model inputs'!AI47)-1)=0),SQRT(-1),(1+'Model inputs'!AI59)^(MIN('Model inputs'!R63,'Model inputs'!AI47)-1))*'Model inputs'!AI83)</f>
        <v>3242.49267578125</v>
      </c>
      <c r="S19" s="8">
        <f>IF(IF(IF(ISERROR('Model inputs'!S63&lt;1),'Model inputs'!S63&lt;1,IF('Model inputs'!S63="","",'Model inputs'!S63&lt;1))="",FALSE,IF(ISERROR('Model inputs'!S63&lt;1),'Model inputs'!S63&lt;1,IF('Model inputs'!S63="","",'Model inputs'!S63&lt;1))),0,'Model inputs'!AI51*IF(AND((1+'Model inputs'!AI59)=0,(MIN('Model inputs'!S63,'Model inputs'!AI47)-1)=0),SQRT(-1),(1+'Model inputs'!AI59)^(MIN('Model inputs'!S63,'Model inputs'!AI47)-1))*'Model inputs'!AI83)</f>
        <v>4053.1158447265625</v>
      </c>
      <c r="T19" s="8">
        <f>IF(IF(IF(ISERROR('Model inputs'!T63&lt;1),'Model inputs'!T63&lt;1,IF('Model inputs'!T63="","",'Model inputs'!T63&lt;1))="",FALSE,IF(ISERROR('Model inputs'!T63&lt;1),'Model inputs'!T63&lt;1,IF('Model inputs'!T63="","",'Model inputs'!T63&lt;1))),0,'Model inputs'!AI51*IF(AND((1+'Model inputs'!AI59)=0,(MIN('Model inputs'!T63,'Model inputs'!AI47)-1)=0),SQRT(-1),(1+'Model inputs'!AI59)^(MIN('Model inputs'!T63,'Model inputs'!AI47)-1))*'Model inputs'!AI83)</f>
        <v>5066.394805908203</v>
      </c>
      <c r="U19" s="8">
        <f>IF(IF(IF(ISERROR('Model inputs'!U63&lt;1),'Model inputs'!U63&lt;1,IF('Model inputs'!U63="","",'Model inputs'!U63&lt;1))="",FALSE,IF(ISERROR('Model inputs'!U63&lt;1),'Model inputs'!U63&lt;1,IF('Model inputs'!U63="","",'Model inputs'!U63&lt;1))),0,'Model inputs'!AI51*IF(AND((1+'Model inputs'!AI59)=0,(MIN('Model inputs'!U63,'Model inputs'!AI47)-1)=0),SQRT(-1),(1+'Model inputs'!AI59)^(MIN('Model inputs'!U63,'Model inputs'!AI47)-1))*'Model inputs'!AI83)</f>
        <v>6332.993507385254</v>
      </c>
      <c r="V19" s="8">
        <f>IF(IF(IF(ISERROR('Model inputs'!V63&lt;1),'Model inputs'!V63&lt;1,IF('Model inputs'!V63="","",'Model inputs'!V63&lt;1))="",FALSE,IF(ISERROR('Model inputs'!V63&lt;1),'Model inputs'!V63&lt;1,IF('Model inputs'!V63="","",'Model inputs'!V63&lt;1))),0,'Model inputs'!AI51*IF(AND((1+'Model inputs'!AI59)=0,(MIN('Model inputs'!V63,'Model inputs'!AI47)-1)=0),SQRT(-1),(1+'Model inputs'!AI59)^(MIN('Model inputs'!V63,'Model inputs'!AI47)-1))*'Model inputs'!AI83)</f>
        <v>7916.241884231567</v>
      </c>
      <c r="W19" s="8">
        <f>IF(IF(IF(ISERROR('Model inputs'!W63&lt;1),'Model inputs'!W63&lt;1,IF('Model inputs'!W63="","",'Model inputs'!W63&lt;1))="",FALSE,IF(ISERROR('Model inputs'!W63&lt;1),'Model inputs'!W63&lt;1,IF('Model inputs'!W63="","",'Model inputs'!W63&lt;1))),0,'Model inputs'!AI51*IF(AND((1+'Model inputs'!AI59)=0,(MIN('Model inputs'!W63,'Model inputs'!AI47)-1)=0),SQRT(-1),(1+'Model inputs'!AI59)^(MIN('Model inputs'!W63,'Model inputs'!AI47)-1))*'Model inputs'!AI83)</f>
        <v>9895.30235528946</v>
      </c>
      <c r="X19" s="8">
        <f>IF(IF(IF(ISERROR('Model inputs'!X63&lt;1),'Model inputs'!X63&lt;1,IF('Model inputs'!X63="","",'Model inputs'!X63&lt;1))="",FALSE,IF(ISERROR('Model inputs'!X63&lt;1),'Model inputs'!X63&lt;1,IF('Model inputs'!X63="","",'Model inputs'!X63&lt;1))),0,'Model inputs'!AI51*IF(AND((1+'Model inputs'!AI59)=0,(MIN('Model inputs'!X63,'Model inputs'!AI47)-1)=0),SQRT(-1),(1+'Model inputs'!AI59)^(MIN('Model inputs'!X63,'Model inputs'!AI47)-1))*'Model inputs'!AI83)</f>
        <v>9895.30235528946</v>
      </c>
      <c r="Y19" s="8">
        <f>IF(IF(IF(ISERROR('Model inputs'!Y63&lt;1),'Model inputs'!Y63&lt;1,IF('Model inputs'!Y63="","",'Model inputs'!Y63&lt;1))="",FALSE,IF(ISERROR('Model inputs'!Y63&lt;1),'Model inputs'!Y63&lt;1,IF('Model inputs'!Y63="","",'Model inputs'!Y63&lt;1))),0,'Model inputs'!AI51*IF(AND((1+'Model inputs'!AI59)=0,(MIN('Model inputs'!Y63,'Model inputs'!AI47)-1)=0),SQRT(-1),(1+'Model inputs'!AI59)^(MIN('Model inputs'!Y63,'Model inputs'!AI47)-1))*'Model inputs'!AI83)</f>
        <v>9895.30235528946</v>
      </c>
      <c r="Z19" s="8">
        <f>IF(IF(IF(ISERROR('Model inputs'!Z63&lt;1),'Model inputs'!Z63&lt;1,IF('Model inputs'!Z63="","",'Model inputs'!Z63&lt;1))="",FALSE,IF(ISERROR('Model inputs'!Z63&lt;1),'Model inputs'!Z63&lt;1,IF('Model inputs'!Z63="","",'Model inputs'!Z63&lt;1))),0,'Model inputs'!AI51*IF(AND((1+'Model inputs'!AI59)=0,(MIN('Model inputs'!Z63,'Model inputs'!AI47)-1)=0),SQRT(-1),(1+'Model inputs'!AI59)^(MIN('Model inputs'!Z63,'Model inputs'!AI47)-1))*'Model inputs'!AI83)</f>
        <v>9895.30235528946</v>
      </c>
      <c r="AA19" s="8">
        <f>IF(IF(IF(ISERROR('Model inputs'!AA63&lt;1),'Model inputs'!AA63&lt;1,IF('Model inputs'!AA63="","",'Model inputs'!AA63&lt;1))="",FALSE,IF(ISERROR('Model inputs'!AA63&lt;1),'Model inputs'!AA63&lt;1,IF('Model inputs'!AA63="","",'Model inputs'!AA63&lt;1))),0,'Model inputs'!AI51*IF(AND((1+'Model inputs'!AI59)=0,(MIN('Model inputs'!AA63,'Model inputs'!AI47)-1)=0),SQRT(-1),(1+'Model inputs'!AI59)^(MIN('Model inputs'!AA63,'Model inputs'!AI47)-1))*'Model inputs'!AI83)</f>
        <v>9895.30235528946</v>
      </c>
      <c r="AB19" s="8">
        <f>IF(IF(IF(ISERROR('Model inputs'!AB63&lt;1),'Model inputs'!AB63&lt;1,IF('Model inputs'!AB63="","",'Model inputs'!AB63&lt;1))="",FALSE,IF(ISERROR('Model inputs'!AB63&lt;1),'Model inputs'!AB63&lt;1,IF('Model inputs'!AB63="","",'Model inputs'!AB63&lt;1))),0,'Model inputs'!AI51*IF(AND((1+'Model inputs'!AI59)=0,(MIN('Model inputs'!AB63,'Model inputs'!AI47)-1)=0),SQRT(-1),(1+'Model inputs'!AI59)^(MIN('Model inputs'!AB63,'Model inputs'!AI47)-1))*'Model inputs'!AI83)</f>
        <v>9895.30235528946</v>
      </c>
      <c r="AC19" s="8">
        <f>IF(IF(IF(ISERROR('Model inputs'!AC63&lt;1),'Model inputs'!AC63&lt;1,IF('Model inputs'!AC63="","",'Model inputs'!AC63&lt;1))="",FALSE,IF(ISERROR('Model inputs'!AC63&lt;1),'Model inputs'!AC63&lt;1,IF('Model inputs'!AC63="","",'Model inputs'!AC63&lt;1))),0,'Model inputs'!AI51*IF(AND((1+'Model inputs'!AI59)=0,(MIN('Model inputs'!AC63,'Model inputs'!AI47)-1)=0),SQRT(-1),(1+'Model inputs'!AI59)^(MIN('Model inputs'!AC63,'Model inputs'!AI47)-1))*'Model inputs'!AI83)</f>
        <v>9895.30235528946</v>
      </c>
      <c r="AD19" s="8">
        <f>IF(IF(IF(ISERROR('Model inputs'!AD63&lt;1),'Model inputs'!AD63&lt;1,IF('Model inputs'!AD63="","",'Model inputs'!AD63&lt;1))="",FALSE,IF(ISERROR('Model inputs'!AD63&lt;1),'Model inputs'!AD63&lt;1,IF('Model inputs'!AD63="","",'Model inputs'!AD63&lt;1))),0,'Model inputs'!AI51*IF(AND((1+'Model inputs'!AI59)=0,(MIN('Model inputs'!AD63,'Model inputs'!AI47)-1)=0),SQRT(-1),(1+'Model inputs'!AI59)^(MIN('Model inputs'!AD63,'Model inputs'!AI47)-1))*'Model inputs'!AI83)</f>
        <v>9895.30235528946</v>
      </c>
      <c r="AE19" s="8">
        <f>IF(IF(IF(ISERROR('Model inputs'!AE63&lt;1),'Model inputs'!AE63&lt;1,IF('Model inputs'!AE63="","",'Model inputs'!AE63&lt;1))="",FALSE,IF(ISERROR('Model inputs'!AE63&lt;1),'Model inputs'!AE63&lt;1,IF('Model inputs'!AE63="","",'Model inputs'!AE63&lt;1))),0,'Model inputs'!AI51*IF(AND((1+'Model inputs'!AI59)=0,(MIN('Model inputs'!AE63,'Model inputs'!AI47)-1)=0),SQRT(-1),(1+'Model inputs'!AI59)^(MIN('Model inputs'!AE63,'Model inputs'!AI47)-1))*'Model inputs'!AI83)</f>
        <v>9895.30235528946</v>
      </c>
      <c r="AF19" s="8">
        <f>IF(IF(IF(ISERROR('Model inputs'!AF63&lt;1),'Model inputs'!AF63&lt;1,IF('Model inputs'!AF63="","",'Model inputs'!AF63&lt;1))="",FALSE,IF(ISERROR('Model inputs'!AF63&lt;1),'Model inputs'!AF63&lt;1,IF('Model inputs'!AF63="","",'Model inputs'!AF63&lt;1))),0,'Model inputs'!AI51*IF(AND((1+'Model inputs'!AI59)=0,(MIN('Model inputs'!AF63,'Model inputs'!AI47)-1)=0),SQRT(-1),(1+'Model inputs'!AI59)^(MIN('Model inputs'!AF63,'Model inputs'!AI47)-1))*'Model inputs'!AI83)</f>
        <v>9895.30235528946</v>
      </c>
      <c r="AG19" s="8">
        <f>IF(IF(IF(ISERROR('Model inputs'!AG63&lt;1),'Model inputs'!AG63&lt;1,IF('Model inputs'!AG63="","",'Model inputs'!AG63&lt;1))="",FALSE,IF(ISERROR('Model inputs'!AG63&lt;1),'Model inputs'!AG63&lt;1,IF('Model inputs'!AG63="","",'Model inputs'!AG63&lt;1))),0,'Model inputs'!AI51*IF(AND((1+'Model inputs'!AI59)=0,(MIN('Model inputs'!AG63,'Model inputs'!AI47)-1)=0),SQRT(-1),(1+'Model inputs'!AI59)^(MIN('Model inputs'!AG63,'Model inputs'!AI47)-1))*'Model inputs'!AI83)</f>
        <v>9895.30235528946</v>
      </c>
      <c r="AH19" s="8">
        <f>IF(IF(IF(ISERROR('Model inputs'!AH63&lt;1),'Model inputs'!AH63&lt;1,IF('Model inputs'!AH63="","",'Model inputs'!AH63&lt;1))="",FALSE,IF(ISERROR('Model inputs'!AH63&lt;1),'Model inputs'!AH63&lt;1,IF('Model inputs'!AH63="","",'Model inputs'!AH63&lt;1))),0,'Model inputs'!AI51*IF(AND((1+'Model inputs'!AI59)=0,(MIN('Model inputs'!AH63,'Model inputs'!AI47)-1)=0),SQRT(-1),(1+'Model inputs'!AI59)^(MIN('Model inputs'!AH63,'Model inputs'!AI47)-1))*'Model inputs'!AI83)</f>
        <v>9895.30235528946</v>
      </c>
    </row>
    <row r="20">
      <c r="A20" t="inlineStr" s="11">
        <is>
          <t xml:space="preserve">Jobs attempted · Base · $0.60</t>
        </is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f>IF(IF(IF(ISERROR('Model inputs'!K64&lt;1),'Model inputs'!K64&lt;1,IF('Model inputs'!K64="","",'Model inputs'!K64&lt;1))="",FALSE,IF(ISERROR('Model inputs'!K64&lt;1),'Model inputs'!K64&lt;1,IF('Model inputs'!K64="","",'Model inputs'!K64&lt;1))),0,'Model inputs'!AI52*IF(AND((1+'Model inputs'!AI60)=0,(MIN('Model inputs'!K64,'Model inputs'!AI48)-1)=0),SQRT(-1),(1+'Model inputs'!AI60)^(MIN('Model inputs'!K64,'Model inputs'!AI48)-1))*'Model inputs'!AI84)</f>
        <v>0</v>
      </c>
      <c r="L20" s="8">
        <f>IF(IF(IF(ISERROR('Model inputs'!L64&lt;1),'Model inputs'!L64&lt;1,IF('Model inputs'!L64="","",'Model inputs'!L64&lt;1))="",FALSE,IF(ISERROR('Model inputs'!L64&lt;1),'Model inputs'!L64&lt;1,IF('Model inputs'!L64="","",'Model inputs'!L64&lt;1))),0,'Model inputs'!AI52*IF(AND((1+'Model inputs'!AI60)=0,(MIN('Model inputs'!L64,'Model inputs'!AI48)-1)=0),SQRT(-1),(1+'Model inputs'!AI60)^(MIN('Model inputs'!L64,'Model inputs'!AI48)-1))*'Model inputs'!AI84)</f>
        <v>850</v>
      </c>
      <c r="M20" s="8">
        <f>IF(IF(IF(ISERROR('Model inputs'!M64&lt;1),'Model inputs'!M64&lt;1,IF('Model inputs'!M64="","",'Model inputs'!M64&lt;1))="",FALSE,IF(ISERROR('Model inputs'!M64&lt;1),'Model inputs'!M64&lt;1,IF('Model inputs'!M64="","",'Model inputs'!M64&lt;1))),0,'Model inputs'!AI52*IF(AND((1+'Model inputs'!AI60)=0,(MIN('Model inputs'!M64,'Model inputs'!AI48)-1)=0),SQRT(-1),(1+'Model inputs'!AI60)^(MIN('Model inputs'!M64,'Model inputs'!AI48)-1))*'Model inputs'!AI84)</f>
        <v>850</v>
      </c>
      <c r="N20" s="8">
        <f>IF(IF(IF(ISERROR('Model inputs'!N64&lt;1),'Model inputs'!N64&lt;1,IF('Model inputs'!N64="","",'Model inputs'!N64&lt;1))="",FALSE,IF(ISERROR('Model inputs'!N64&lt;1),'Model inputs'!N64&lt;1,IF('Model inputs'!N64="","",'Model inputs'!N64&lt;1))),0,'Model inputs'!AI52*IF(AND((1+'Model inputs'!AI60)=0,(MIN('Model inputs'!N64,'Model inputs'!AI48)-1)=0),SQRT(-1),(1+'Model inputs'!AI60)^(MIN('Model inputs'!N64,'Model inputs'!AI48)-1))*'Model inputs'!AI84)</f>
        <v>850</v>
      </c>
      <c r="O20" s="8">
        <f>IF(IF(IF(ISERROR('Model inputs'!O64&lt;1),'Model inputs'!O64&lt;1,IF('Model inputs'!O64="","",'Model inputs'!O64&lt;1))="",FALSE,IF(ISERROR('Model inputs'!O64&lt;1),'Model inputs'!O64&lt;1,IF('Model inputs'!O64="","",'Model inputs'!O64&lt;1))),0,'Model inputs'!AI52*IF(AND((1+'Model inputs'!AI60)=0,(MIN('Model inputs'!O64,'Model inputs'!AI48)-1)=0),SQRT(-1),(1+'Model inputs'!AI60)^(MIN('Model inputs'!O64,'Model inputs'!AI48)-1))*'Model inputs'!AI84)</f>
        <v>850</v>
      </c>
      <c r="P20" s="8">
        <f>IF(IF(IF(ISERROR('Model inputs'!P64&lt;1),'Model inputs'!P64&lt;1,IF('Model inputs'!P64="","",'Model inputs'!P64&lt;1))="",FALSE,IF(ISERROR('Model inputs'!P64&lt;1),'Model inputs'!P64&lt;1,IF('Model inputs'!P64="","",'Model inputs'!P64&lt;1))),0,'Model inputs'!AI52*IF(AND((1+'Model inputs'!AI60)=0,(MIN('Model inputs'!P64,'Model inputs'!AI48)-1)=0),SQRT(-1),(1+'Model inputs'!AI60)^(MIN('Model inputs'!P64,'Model inputs'!AI48)-1))*'Model inputs'!AI84)</f>
        <v>850</v>
      </c>
      <c r="Q20" s="8">
        <f>IF(IF(IF(ISERROR('Model inputs'!Q64&lt;1),'Model inputs'!Q64&lt;1,IF('Model inputs'!Q64="","",'Model inputs'!Q64&lt;1))="",FALSE,IF(ISERROR('Model inputs'!Q64&lt;1),'Model inputs'!Q64&lt;1,IF('Model inputs'!Q64="","",'Model inputs'!Q64&lt;1))),0,'Model inputs'!AI52*IF(AND((1+'Model inputs'!AI60)=0,(MIN('Model inputs'!Q64,'Model inputs'!AI48)-1)=0),SQRT(-1),(1+'Model inputs'!AI60)^(MIN('Model inputs'!Q64,'Model inputs'!AI48)-1))*'Model inputs'!AI84)</f>
        <v>850</v>
      </c>
      <c r="R20" s="8">
        <f>IF(IF(IF(ISERROR('Model inputs'!R64&lt;1),'Model inputs'!R64&lt;1,IF('Model inputs'!R64="","",'Model inputs'!R64&lt;1))="",FALSE,IF(ISERROR('Model inputs'!R64&lt;1),'Model inputs'!R64&lt;1,IF('Model inputs'!R64="","",'Model inputs'!R64&lt;1))),0,'Model inputs'!AI52*IF(AND((1+'Model inputs'!AI60)=0,(MIN('Model inputs'!R64,'Model inputs'!AI48)-1)=0),SQRT(-1),(1+'Model inputs'!AI60)^(MIN('Model inputs'!R64,'Model inputs'!AI48)-1))*'Model inputs'!AI84)</f>
        <v>850</v>
      </c>
      <c r="S20" s="8">
        <f>IF(IF(IF(ISERROR('Model inputs'!S64&lt;1),'Model inputs'!S64&lt;1,IF('Model inputs'!S64="","",'Model inputs'!S64&lt;1))="",FALSE,IF(ISERROR('Model inputs'!S64&lt;1),'Model inputs'!S64&lt;1,IF('Model inputs'!S64="","",'Model inputs'!S64&lt;1))),0,'Model inputs'!AI52*IF(AND((1+'Model inputs'!AI60)=0,(MIN('Model inputs'!S64,'Model inputs'!AI48)-1)=0),SQRT(-1),(1+'Model inputs'!AI60)^(MIN('Model inputs'!S64,'Model inputs'!AI48)-1))*'Model inputs'!AI84)</f>
        <v>850</v>
      </c>
      <c r="T20" s="8">
        <f>IF(IF(IF(ISERROR('Model inputs'!T64&lt;1),'Model inputs'!T64&lt;1,IF('Model inputs'!T64="","",'Model inputs'!T64&lt;1))="",FALSE,IF(ISERROR('Model inputs'!T64&lt;1),'Model inputs'!T64&lt;1,IF('Model inputs'!T64="","",'Model inputs'!T64&lt;1))),0,'Model inputs'!AI52*IF(AND((1+'Model inputs'!AI60)=0,(MIN('Model inputs'!T64,'Model inputs'!AI48)-1)=0),SQRT(-1),(1+'Model inputs'!AI60)^(MIN('Model inputs'!T64,'Model inputs'!AI48)-1))*'Model inputs'!AI84)</f>
        <v>850</v>
      </c>
      <c r="U20" s="8">
        <f>IF(IF(IF(ISERROR('Model inputs'!U64&lt;1),'Model inputs'!U64&lt;1,IF('Model inputs'!U64="","",'Model inputs'!U64&lt;1))="",FALSE,IF(ISERROR('Model inputs'!U64&lt;1),'Model inputs'!U64&lt;1,IF('Model inputs'!U64="","",'Model inputs'!U64&lt;1))),0,'Model inputs'!AI52*IF(AND((1+'Model inputs'!AI60)=0,(MIN('Model inputs'!U64,'Model inputs'!AI48)-1)=0),SQRT(-1),(1+'Model inputs'!AI60)^(MIN('Model inputs'!U64,'Model inputs'!AI48)-1))*'Model inputs'!AI84)</f>
        <v>850</v>
      </c>
      <c r="V20" s="8">
        <f>IF(IF(IF(ISERROR('Model inputs'!V64&lt;1),'Model inputs'!V64&lt;1,IF('Model inputs'!V64="","",'Model inputs'!V64&lt;1))="",FALSE,IF(ISERROR('Model inputs'!V64&lt;1),'Model inputs'!V64&lt;1,IF('Model inputs'!V64="","",'Model inputs'!V64&lt;1))),0,'Model inputs'!AI52*IF(AND((1+'Model inputs'!AI60)=0,(MIN('Model inputs'!V64,'Model inputs'!AI48)-1)=0),SQRT(-1),(1+'Model inputs'!AI60)^(MIN('Model inputs'!V64,'Model inputs'!AI48)-1))*'Model inputs'!AI84)</f>
        <v>850</v>
      </c>
      <c r="W20" s="8">
        <f>IF(IF(IF(ISERROR('Model inputs'!W64&lt;1),'Model inputs'!W64&lt;1,IF('Model inputs'!W64="","",'Model inputs'!W64&lt;1))="",FALSE,IF(ISERROR('Model inputs'!W64&lt;1),'Model inputs'!W64&lt;1,IF('Model inputs'!W64="","",'Model inputs'!W64&lt;1))),0,'Model inputs'!AI52*IF(AND((1+'Model inputs'!AI60)=0,(MIN('Model inputs'!W64,'Model inputs'!AI48)-1)=0),SQRT(-1),(1+'Model inputs'!AI60)^(MIN('Model inputs'!W64,'Model inputs'!AI48)-1))*'Model inputs'!AI84)</f>
        <v>850</v>
      </c>
      <c r="X20" s="8">
        <f>IF(IF(IF(ISERROR('Model inputs'!X64&lt;1),'Model inputs'!X64&lt;1,IF('Model inputs'!X64="","",'Model inputs'!X64&lt;1))="",FALSE,IF(ISERROR('Model inputs'!X64&lt;1),'Model inputs'!X64&lt;1,IF('Model inputs'!X64="","",'Model inputs'!X64&lt;1))),0,'Model inputs'!AI52*IF(AND((1+'Model inputs'!AI60)=0,(MIN('Model inputs'!X64,'Model inputs'!AI48)-1)=0),SQRT(-1),(1+'Model inputs'!AI60)^(MIN('Model inputs'!X64,'Model inputs'!AI48)-1))*'Model inputs'!AI84)</f>
        <v>850</v>
      </c>
      <c r="Y20" s="8">
        <f>IF(IF(IF(ISERROR('Model inputs'!Y64&lt;1),'Model inputs'!Y64&lt;1,IF('Model inputs'!Y64="","",'Model inputs'!Y64&lt;1))="",FALSE,IF(ISERROR('Model inputs'!Y64&lt;1),'Model inputs'!Y64&lt;1,IF('Model inputs'!Y64="","",'Model inputs'!Y64&lt;1))),0,'Model inputs'!AI52*IF(AND((1+'Model inputs'!AI60)=0,(MIN('Model inputs'!Y64,'Model inputs'!AI48)-1)=0),SQRT(-1),(1+'Model inputs'!AI60)^(MIN('Model inputs'!Y64,'Model inputs'!AI48)-1))*'Model inputs'!AI84)</f>
        <v>850</v>
      </c>
      <c r="Z20" s="8">
        <f>IF(IF(IF(ISERROR('Model inputs'!Z64&lt;1),'Model inputs'!Z64&lt;1,IF('Model inputs'!Z64="","",'Model inputs'!Z64&lt;1))="",FALSE,IF(ISERROR('Model inputs'!Z64&lt;1),'Model inputs'!Z64&lt;1,IF('Model inputs'!Z64="","",'Model inputs'!Z64&lt;1))),0,'Model inputs'!AI52*IF(AND((1+'Model inputs'!AI60)=0,(MIN('Model inputs'!Z64,'Model inputs'!AI48)-1)=0),SQRT(-1),(1+'Model inputs'!AI60)^(MIN('Model inputs'!Z64,'Model inputs'!AI48)-1))*'Model inputs'!AI84)</f>
        <v>850</v>
      </c>
      <c r="AA20" s="8">
        <f>IF(IF(IF(ISERROR('Model inputs'!AA64&lt;1),'Model inputs'!AA64&lt;1,IF('Model inputs'!AA64="","",'Model inputs'!AA64&lt;1))="",FALSE,IF(ISERROR('Model inputs'!AA64&lt;1),'Model inputs'!AA64&lt;1,IF('Model inputs'!AA64="","",'Model inputs'!AA64&lt;1))),0,'Model inputs'!AI52*IF(AND((1+'Model inputs'!AI60)=0,(MIN('Model inputs'!AA64,'Model inputs'!AI48)-1)=0),SQRT(-1),(1+'Model inputs'!AI60)^(MIN('Model inputs'!AA64,'Model inputs'!AI48)-1))*'Model inputs'!AI84)</f>
        <v>850</v>
      </c>
      <c r="AB20" s="8">
        <f>IF(IF(IF(ISERROR('Model inputs'!AB64&lt;1),'Model inputs'!AB64&lt;1,IF('Model inputs'!AB64="","",'Model inputs'!AB64&lt;1))="",FALSE,IF(ISERROR('Model inputs'!AB64&lt;1),'Model inputs'!AB64&lt;1,IF('Model inputs'!AB64="","",'Model inputs'!AB64&lt;1))),0,'Model inputs'!AI52*IF(AND((1+'Model inputs'!AI60)=0,(MIN('Model inputs'!AB64,'Model inputs'!AI48)-1)=0),SQRT(-1),(1+'Model inputs'!AI60)^(MIN('Model inputs'!AB64,'Model inputs'!AI48)-1))*'Model inputs'!AI84)</f>
        <v>850</v>
      </c>
      <c r="AC20" s="8">
        <f>IF(IF(IF(ISERROR('Model inputs'!AC64&lt;1),'Model inputs'!AC64&lt;1,IF('Model inputs'!AC64="","",'Model inputs'!AC64&lt;1))="",FALSE,IF(ISERROR('Model inputs'!AC64&lt;1),'Model inputs'!AC64&lt;1,IF('Model inputs'!AC64="","",'Model inputs'!AC64&lt;1))),0,'Model inputs'!AI52*IF(AND((1+'Model inputs'!AI60)=0,(MIN('Model inputs'!AC64,'Model inputs'!AI48)-1)=0),SQRT(-1),(1+'Model inputs'!AI60)^(MIN('Model inputs'!AC64,'Model inputs'!AI48)-1))*'Model inputs'!AI84)</f>
        <v>850</v>
      </c>
      <c r="AD20" s="8">
        <f>IF(IF(IF(ISERROR('Model inputs'!AD64&lt;1),'Model inputs'!AD64&lt;1,IF('Model inputs'!AD64="","",'Model inputs'!AD64&lt;1))="",FALSE,IF(ISERROR('Model inputs'!AD64&lt;1),'Model inputs'!AD64&lt;1,IF('Model inputs'!AD64="","",'Model inputs'!AD64&lt;1))),0,'Model inputs'!AI52*IF(AND((1+'Model inputs'!AI60)=0,(MIN('Model inputs'!AD64,'Model inputs'!AI48)-1)=0),SQRT(-1),(1+'Model inputs'!AI60)^(MIN('Model inputs'!AD64,'Model inputs'!AI48)-1))*'Model inputs'!AI84)</f>
        <v>850</v>
      </c>
      <c r="AE20" s="8">
        <f>IF(IF(IF(ISERROR('Model inputs'!AE64&lt;1),'Model inputs'!AE64&lt;1,IF('Model inputs'!AE64="","",'Model inputs'!AE64&lt;1))="",FALSE,IF(ISERROR('Model inputs'!AE64&lt;1),'Model inputs'!AE64&lt;1,IF('Model inputs'!AE64="","",'Model inputs'!AE64&lt;1))),0,'Model inputs'!AI52*IF(AND((1+'Model inputs'!AI60)=0,(MIN('Model inputs'!AE64,'Model inputs'!AI48)-1)=0),SQRT(-1),(1+'Model inputs'!AI60)^(MIN('Model inputs'!AE64,'Model inputs'!AI48)-1))*'Model inputs'!AI84)</f>
        <v>850</v>
      </c>
      <c r="AF20" s="8">
        <f>IF(IF(IF(ISERROR('Model inputs'!AF64&lt;1),'Model inputs'!AF64&lt;1,IF('Model inputs'!AF64="","",'Model inputs'!AF64&lt;1))="",FALSE,IF(ISERROR('Model inputs'!AF64&lt;1),'Model inputs'!AF64&lt;1,IF('Model inputs'!AF64="","",'Model inputs'!AF64&lt;1))),0,'Model inputs'!AI52*IF(AND((1+'Model inputs'!AI60)=0,(MIN('Model inputs'!AF64,'Model inputs'!AI48)-1)=0),SQRT(-1),(1+'Model inputs'!AI60)^(MIN('Model inputs'!AF64,'Model inputs'!AI48)-1))*'Model inputs'!AI84)</f>
        <v>850</v>
      </c>
      <c r="AG20" s="8">
        <f>IF(IF(IF(ISERROR('Model inputs'!AG64&lt;1),'Model inputs'!AG64&lt;1,IF('Model inputs'!AG64="","",'Model inputs'!AG64&lt;1))="",FALSE,IF(ISERROR('Model inputs'!AG64&lt;1),'Model inputs'!AG64&lt;1,IF('Model inputs'!AG64="","",'Model inputs'!AG64&lt;1))),0,'Model inputs'!AI52*IF(AND((1+'Model inputs'!AI60)=0,(MIN('Model inputs'!AG64,'Model inputs'!AI48)-1)=0),SQRT(-1),(1+'Model inputs'!AI60)^(MIN('Model inputs'!AG64,'Model inputs'!AI48)-1))*'Model inputs'!AI84)</f>
        <v>850</v>
      </c>
      <c r="AH20" s="8">
        <f>IF(IF(IF(ISERROR('Model inputs'!AH64&lt;1),'Model inputs'!AH64&lt;1,IF('Model inputs'!AH64="","",'Model inputs'!AH64&lt;1))="",FALSE,IF(ISERROR('Model inputs'!AH64&lt;1),'Model inputs'!AH64&lt;1,IF('Model inputs'!AH64="","",'Model inputs'!AH64&lt;1))),0,'Model inputs'!AI52*IF(AND((1+'Model inputs'!AI60)=0,(MIN('Model inputs'!AH64,'Model inputs'!AI48)-1)=0),SQRT(-1),(1+'Model inputs'!AI60)^(MIN('Model inputs'!AH64,'Model inputs'!AI48)-1))*'Model inputs'!AI84)</f>
        <v>850</v>
      </c>
    </row>
    <row r="21">
      <c r="A21" t="inlineStr" s="11">
        <is>
          <t xml:space="preserve">Jobs attempted · Growth · $0.34</t>
        </is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f>IF(IF(IF(ISERROR('Model inputs'!K65&lt;1),'Model inputs'!K65&lt;1,IF('Model inputs'!K65="","",'Model inputs'!K65&lt;1))="",FALSE,IF(ISERROR('Model inputs'!K65&lt;1),'Model inputs'!K65&lt;1,IF('Model inputs'!K65="","",'Model inputs'!K65&lt;1))),0,'Model inputs'!AI53*IF(AND((1+'Model inputs'!AI61)=0,(MIN('Model inputs'!K65,'Model inputs'!AI49)-1)=0),SQRT(-1),(1+'Model inputs'!AI61)^(MIN('Model inputs'!K65,'Model inputs'!AI49)-1))*'Model inputs'!AI85)</f>
        <v>0</v>
      </c>
      <c r="L21" s="8">
        <f>IF(IF(IF(ISERROR('Model inputs'!L65&lt;1),'Model inputs'!L65&lt;1,IF('Model inputs'!L65="","",'Model inputs'!L65&lt;1))="",FALSE,IF(ISERROR('Model inputs'!L65&lt;1),'Model inputs'!L65&lt;1,IF('Model inputs'!L65="","",'Model inputs'!L65&lt;1))),0,'Model inputs'!AI53*IF(AND((1+'Model inputs'!AI61)=0,(MIN('Model inputs'!L65,'Model inputs'!AI49)-1)=0),SQRT(-1),(1+'Model inputs'!AI61)^(MIN('Model inputs'!L65,'Model inputs'!AI49)-1))*'Model inputs'!AI85)</f>
        <v>1000</v>
      </c>
      <c r="M21" s="8">
        <f>IF(IF(IF(ISERROR('Model inputs'!M65&lt;1),'Model inputs'!M65&lt;1,IF('Model inputs'!M65="","",'Model inputs'!M65&lt;1))="",FALSE,IF(ISERROR('Model inputs'!M65&lt;1),'Model inputs'!M65&lt;1,IF('Model inputs'!M65="","",'Model inputs'!M65&lt;1))),0,'Model inputs'!AI53*IF(AND((1+'Model inputs'!AI61)=0,(MIN('Model inputs'!M65,'Model inputs'!AI49)-1)=0),SQRT(-1),(1+'Model inputs'!AI61)^(MIN('Model inputs'!M65,'Model inputs'!AI49)-1))*'Model inputs'!AI85)</f>
        <v>1250</v>
      </c>
      <c r="N21" s="8">
        <f>IF(IF(IF(ISERROR('Model inputs'!N65&lt;1),'Model inputs'!N65&lt;1,IF('Model inputs'!N65="","",'Model inputs'!N65&lt;1))="",FALSE,IF(ISERROR('Model inputs'!N65&lt;1),'Model inputs'!N65&lt;1,IF('Model inputs'!N65="","",'Model inputs'!N65&lt;1))),0,'Model inputs'!AI53*IF(AND((1+'Model inputs'!AI61)=0,(MIN('Model inputs'!N65,'Model inputs'!AI49)-1)=0),SQRT(-1),(1+'Model inputs'!AI61)^(MIN('Model inputs'!N65,'Model inputs'!AI49)-1))*'Model inputs'!AI85)</f>
        <v>1562.5</v>
      </c>
      <c r="O21" s="8">
        <f>IF(IF(IF(ISERROR('Model inputs'!O65&lt;1),'Model inputs'!O65&lt;1,IF('Model inputs'!O65="","",'Model inputs'!O65&lt;1))="",FALSE,IF(ISERROR('Model inputs'!O65&lt;1),'Model inputs'!O65&lt;1,IF('Model inputs'!O65="","",'Model inputs'!O65&lt;1))),0,'Model inputs'!AI53*IF(AND((1+'Model inputs'!AI61)=0,(MIN('Model inputs'!O65,'Model inputs'!AI49)-1)=0),SQRT(-1),(1+'Model inputs'!AI61)^(MIN('Model inputs'!O65,'Model inputs'!AI49)-1))*'Model inputs'!AI85)</f>
        <v>1953.125</v>
      </c>
      <c r="P21" s="8">
        <f>IF(IF(IF(ISERROR('Model inputs'!P65&lt;1),'Model inputs'!P65&lt;1,IF('Model inputs'!P65="","",'Model inputs'!P65&lt;1))="",FALSE,IF(ISERROR('Model inputs'!P65&lt;1),'Model inputs'!P65&lt;1,IF('Model inputs'!P65="","",'Model inputs'!P65&lt;1))),0,'Model inputs'!AI53*IF(AND((1+'Model inputs'!AI61)=0,(MIN('Model inputs'!P65,'Model inputs'!AI49)-1)=0),SQRT(-1),(1+'Model inputs'!AI61)^(MIN('Model inputs'!P65,'Model inputs'!AI49)-1))*'Model inputs'!AI85)</f>
        <v>2441.40625</v>
      </c>
      <c r="Q21" s="8">
        <f>IF(IF(IF(ISERROR('Model inputs'!Q65&lt;1),'Model inputs'!Q65&lt;1,IF('Model inputs'!Q65="","",'Model inputs'!Q65&lt;1))="",FALSE,IF(ISERROR('Model inputs'!Q65&lt;1),'Model inputs'!Q65&lt;1,IF('Model inputs'!Q65="","",'Model inputs'!Q65&lt;1))),0,'Model inputs'!AI53*IF(AND((1+'Model inputs'!AI61)=0,(MIN('Model inputs'!Q65,'Model inputs'!AI49)-1)=0),SQRT(-1),(1+'Model inputs'!AI61)^(MIN('Model inputs'!Q65,'Model inputs'!AI49)-1))*'Model inputs'!AI85)</f>
        <v>3051.7578125</v>
      </c>
      <c r="R21" s="8">
        <f>IF(IF(IF(ISERROR('Model inputs'!R65&lt;1),'Model inputs'!R65&lt;1,IF('Model inputs'!R65="","",'Model inputs'!R65&lt;1))="",FALSE,IF(ISERROR('Model inputs'!R65&lt;1),'Model inputs'!R65&lt;1,IF('Model inputs'!R65="","",'Model inputs'!R65&lt;1))),0,'Model inputs'!AI53*IF(AND((1+'Model inputs'!AI61)=0,(MIN('Model inputs'!R65,'Model inputs'!AI49)-1)=0),SQRT(-1),(1+'Model inputs'!AI61)^(MIN('Model inputs'!R65,'Model inputs'!AI49)-1))*'Model inputs'!AI85)</f>
        <v>3814.697265625</v>
      </c>
      <c r="S21" s="8">
        <f>IF(IF(IF(ISERROR('Model inputs'!S65&lt;1),'Model inputs'!S65&lt;1,IF('Model inputs'!S65="","",'Model inputs'!S65&lt;1))="",FALSE,IF(ISERROR('Model inputs'!S65&lt;1),'Model inputs'!S65&lt;1,IF('Model inputs'!S65="","",'Model inputs'!S65&lt;1))),0,'Model inputs'!AI53*IF(AND((1+'Model inputs'!AI61)=0,(MIN('Model inputs'!S65,'Model inputs'!AI49)-1)=0),SQRT(-1),(1+'Model inputs'!AI61)^(MIN('Model inputs'!S65,'Model inputs'!AI49)-1))*'Model inputs'!AI85)</f>
        <v>4768.37158203125</v>
      </c>
      <c r="T21" s="8">
        <f>IF(IF(IF(ISERROR('Model inputs'!T65&lt;1),'Model inputs'!T65&lt;1,IF('Model inputs'!T65="","",'Model inputs'!T65&lt;1))="",FALSE,IF(ISERROR('Model inputs'!T65&lt;1),'Model inputs'!T65&lt;1,IF('Model inputs'!T65="","",'Model inputs'!T65&lt;1))),0,'Model inputs'!AI53*IF(AND((1+'Model inputs'!AI61)=0,(MIN('Model inputs'!T65,'Model inputs'!AI49)-1)=0),SQRT(-1),(1+'Model inputs'!AI61)^(MIN('Model inputs'!T65,'Model inputs'!AI49)-1))*'Model inputs'!AI85)</f>
        <v>5960.4644775390625</v>
      </c>
      <c r="U21" s="8">
        <f>IF(IF(IF(ISERROR('Model inputs'!U65&lt;1),'Model inputs'!U65&lt;1,IF('Model inputs'!U65="","",'Model inputs'!U65&lt;1))="",FALSE,IF(ISERROR('Model inputs'!U65&lt;1),'Model inputs'!U65&lt;1,IF('Model inputs'!U65="","",'Model inputs'!U65&lt;1))),0,'Model inputs'!AI53*IF(AND((1+'Model inputs'!AI61)=0,(MIN('Model inputs'!U65,'Model inputs'!AI49)-1)=0),SQRT(-1),(1+'Model inputs'!AI61)^(MIN('Model inputs'!U65,'Model inputs'!AI49)-1))*'Model inputs'!AI85)</f>
        <v>7450.580596923828</v>
      </c>
      <c r="V21" s="8">
        <f>IF(IF(IF(ISERROR('Model inputs'!V65&lt;1),'Model inputs'!V65&lt;1,IF('Model inputs'!V65="","",'Model inputs'!V65&lt;1))="",FALSE,IF(ISERROR('Model inputs'!V65&lt;1),'Model inputs'!V65&lt;1,IF('Model inputs'!V65="","",'Model inputs'!V65&lt;1))),0,'Model inputs'!AI53*IF(AND((1+'Model inputs'!AI61)=0,(MIN('Model inputs'!V65,'Model inputs'!AI49)-1)=0),SQRT(-1),(1+'Model inputs'!AI61)^(MIN('Model inputs'!V65,'Model inputs'!AI49)-1))*'Model inputs'!AI85)</f>
        <v>9313.225746154785</v>
      </c>
      <c r="W21" s="8">
        <f>IF(IF(IF(ISERROR('Model inputs'!W65&lt;1),'Model inputs'!W65&lt;1,IF('Model inputs'!W65="","",'Model inputs'!W65&lt;1))="",FALSE,IF(ISERROR('Model inputs'!W65&lt;1),'Model inputs'!W65&lt;1,IF('Model inputs'!W65="","",'Model inputs'!W65&lt;1))),0,'Model inputs'!AI53*IF(AND((1+'Model inputs'!AI61)=0,(MIN('Model inputs'!W65,'Model inputs'!AI49)-1)=0),SQRT(-1),(1+'Model inputs'!AI61)^(MIN('Model inputs'!W65,'Model inputs'!AI49)-1))*'Model inputs'!AI85)</f>
        <v>11641.532182693481</v>
      </c>
      <c r="X21" s="8">
        <f>IF(IF(IF(ISERROR('Model inputs'!X65&lt;1),'Model inputs'!X65&lt;1,IF('Model inputs'!X65="","",'Model inputs'!X65&lt;1))="",FALSE,IF(ISERROR('Model inputs'!X65&lt;1),'Model inputs'!X65&lt;1,IF('Model inputs'!X65="","",'Model inputs'!X65&lt;1))),0,'Model inputs'!AI53*IF(AND((1+'Model inputs'!AI61)=0,(MIN('Model inputs'!X65,'Model inputs'!AI49)-1)=0),SQRT(-1),(1+'Model inputs'!AI61)^(MIN('Model inputs'!X65,'Model inputs'!AI49)-1))*'Model inputs'!AI85)</f>
        <v>11641.532182693481</v>
      </c>
      <c r="Y21" s="8">
        <f>IF(IF(IF(ISERROR('Model inputs'!Y65&lt;1),'Model inputs'!Y65&lt;1,IF('Model inputs'!Y65="","",'Model inputs'!Y65&lt;1))="",FALSE,IF(ISERROR('Model inputs'!Y65&lt;1),'Model inputs'!Y65&lt;1,IF('Model inputs'!Y65="","",'Model inputs'!Y65&lt;1))),0,'Model inputs'!AI53*IF(AND((1+'Model inputs'!AI61)=0,(MIN('Model inputs'!Y65,'Model inputs'!AI49)-1)=0),SQRT(-1),(1+'Model inputs'!AI61)^(MIN('Model inputs'!Y65,'Model inputs'!AI49)-1))*'Model inputs'!AI85)</f>
        <v>11641.532182693481</v>
      </c>
      <c r="Z21" s="8">
        <f>IF(IF(IF(ISERROR('Model inputs'!Z65&lt;1),'Model inputs'!Z65&lt;1,IF('Model inputs'!Z65="","",'Model inputs'!Z65&lt;1))="",FALSE,IF(ISERROR('Model inputs'!Z65&lt;1),'Model inputs'!Z65&lt;1,IF('Model inputs'!Z65="","",'Model inputs'!Z65&lt;1))),0,'Model inputs'!AI53*IF(AND((1+'Model inputs'!AI61)=0,(MIN('Model inputs'!Z65,'Model inputs'!AI49)-1)=0),SQRT(-1),(1+'Model inputs'!AI61)^(MIN('Model inputs'!Z65,'Model inputs'!AI49)-1))*'Model inputs'!AI85)</f>
        <v>11641.532182693481</v>
      </c>
      <c r="AA21" s="8">
        <f>IF(IF(IF(ISERROR('Model inputs'!AA65&lt;1),'Model inputs'!AA65&lt;1,IF('Model inputs'!AA65="","",'Model inputs'!AA65&lt;1))="",FALSE,IF(ISERROR('Model inputs'!AA65&lt;1),'Model inputs'!AA65&lt;1,IF('Model inputs'!AA65="","",'Model inputs'!AA65&lt;1))),0,'Model inputs'!AI53*IF(AND((1+'Model inputs'!AI61)=0,(MIN('Model inputs'!AA65,'Model inputs'!AI49)-1)=0),SQRT(-1),(1+'Model inputs'!AI61)^(MIN('Model inputs'!AA65,'Model inputs'!AI49)-1))*'Model inputs'!AI85)</f>
        <v>11641.532182693481</v>
      </c>
      <c r="AB21" s="8">
        <f>IF(IF(IF(ISERROR('Model inputs'!AB65&lt;1),'Model inputs'!AB65&lt;1,IF('Model inputs'!AB65="","",'Model inputs'!AB65&lt;1))="",FALSE,IF(ISERROR('Model inputs'!AB65&lt;1),'Model inputs'!AB65&lt;1,IF('Model inputs'!AB65="","",'Model inputs'!AB65&lt;1))),0,'Model inputs'!AI53*IF(AND((1+'Model inputs'!AI61)=0,(MIN('Model inputs'!AB65,'Model inputs'!AI49)-1)=0),SQRT(-1),(1+'Model inputs'!AI61)^(MIN('Model inputs'!AB65,'Model inputs'!AI49)-1))*'Model inputs'!AI85)</f>
        <v>11641.532182693481</v>
      </c>
      <c r="AC21" s="8">
        <f>IF(IF(IF(ISERROR('Model inputs'!AC65&lt;1),'Model inputs'!AC65&lt;1,IF('Model inputs'!AC65="","",'Model inputs'!AC65&lt;1))="",FALSE,IF(ISERROR('Model inputs'!AC65&lt;1),'Model inputs'!AC65&lt;1,IF('Model inputs'!AC65="","",'Model inputs'!AC65&lt;1))),0,'Model inputs'!AI53*IF(AND((1+'Model inputs'!AI61)=0,(MIN('Model inputs'!AC65,'Model inputs'!AI49)-1)=0),SQRT(-1),(1+'Model inputs'!AI61)^(MIN('Model inputs'!AC65,'Model inputs'!AI49)-1))*'Model inputs'!AI85)</f>
        <v>11641.532182693481</v>
      </c>
      <c r="AD21" s="8">
        <f>IF(IF(IF(ISERROR('Model inputs'!AD65&lt;1),'Model inputs'!AD65&lt;1,IF('Model inputs'!AD65="","",'Model inputs'!AD65&lt;1))="",FALSE,IF(ISERROR('Model inputs'!AD65&lt;1),'Model inputs'!AD65&lt;1,IF('Model inputs'!AD65="","",'Model inputs'!AD65&lt;1))),0,'Model inputs'!AI53*IF(AND((1+'Model inputs'!AI61)=0,(MIN('Model inputs'!AD65,'Model inputs'!AI49)-1)=0),SQRT(-1),(1+'Model inputs'!AI61)^(MIN('Model inputs'!AD65,'Model inputs'!AI49)-1))*'Model inputs'!AI85)</f>
        <v>11641.532182693481</v>
      </c>
      <c r="AE21" s="8">
        <f>IF(IF(IF(ISERROR('Model inputs'!AE65&lt;1),'Model inputs'!AE65&lt;1,IF('Model inputs'!AE65="","",'Model inputs'!AE65&lt;1))="",FALSE,IF(ISERROR('Model inputs'!AE65&lt;1),'Model inputs'!AE65&lt;1,IF('Model inputs'!AE65="","",'Model inputs'!AE65&lt;1))),0,'Model inputs'!AI53*IF(AND((1+'Model inputs'!AI61)=0,(MIN('Model inputs'!AE65,'Model inputs'!AI49)-1)=0),SQRT(-1),(1+'Model inputs'!AI61)^(MIN('Model inputs'!AE65,'Model inputs'!AI49)-1))*'Model inputs'!AI85)</f>
        <v>11641.532182693481</v>
      </c>
      <c r="AF21" s="8">
        <f>IF(IF(IF(ISERROR('Model inputs'!AF65&lt;1),'Model inputs'!AF65&lt;1,IF('Model inputs'!AF65="","",'Model inputs'!AF65&lt;1))="",FALSE,IF(ISERROR('Model inputs'!AF65&lt;1),'Model inputs'!AF65&lt;1,IF('Model inputs'!AF65="","",'Model inputs'!AF65&lt;1))),0,'Model inputs'!AI53*IF(AND((1+'Model inputs'!AI61)=0,(MIN('Model inputs'!AF65,'Model inputs'!AI49)-1)=0),SQRT(-1),(1+'Model inputs'!AI61)^(MIN('Model inputs'!AF65,'Model inputs'!AI49)-1))*'Model inputs'!AI85)</f>
        <v>11641.532182693481</v>
      </c>
      <c r="AG21" s="8">
        <f>IF(IF(IF(ISERROR('Model inputs'!AG65&lt;1),'Model inputs'!AG65&lt;1,IF('Model inputs'!AG65="","",'Model inputs'!AG65&lt;1))="",FALSE,IF(ISERROR('Model inputs'!AG65&lt;1),'Model inputs'!AG65&lt;1,IF('Model inputs'!AG65="","",'Model inputs'!AG65&lt;1))),0,'Model inputs'!AI53*IF(AND((1+'Model inputs'!AI61)=0,(MIN('Model inputs'!AG65,'Model inputs'!AI49)-1)=0),SQRT(-1),(1+'Model inputs'!AI61)^(MIN('Model inputs'!AG65,'Model inputs'!AI49)-1))*'Model inputs'!AI85)</f>
        <v>11641.532182693481</v>
      </c>
      <c r="AH21" s="8">
        <f>IF(IF(IF(ISERROR('Model inputs'!AH65&lt;1),'Model inputs'!AH65&lt;1,IF('Model inputs'!AH65="","",'Model inputs'!AH65&lt;1))="",FALSE,IF(ISERROR('Model inputs'!AH65&lt;1),'Model inputs'!AH65&lt;1,IF('Model inputs'!AH65="","",'Model inputs'!AH65&lt;1))),0,'Model inputs'!AI53*IF(AND((1+'Model inputs'!AI61)=0,(MIN('Model inputs'!AH65,'Model inputs'!AI49)-1)=0),SQRT(-1),(1+'Model inputs'!AI61)^(MIN('Model inputs'!AH65,'Model inputs'!AI49)-1))*'Model inputs'!AI85)</f>
        <v>11641.532182693481</v>
      </c>
    </row>
    <row r="22">
      <c r="A22" t="inlineStr" s="11">
        <is>
          <t xml:space="preserve">Net cash flow · Main Scenario</t>
        </is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f>'Model inputs'!K34-'Model inputs'!K54-'Model inputs'!K42</f>
        <v>-170</v>
      </c>
      <c r="L22" s="8">
        <f>'Model inputs'!L34-'Model inputs'!L54-'Model inputs'!L42</f>
        <v>-267.5</v>
      </c>
      <c r="M22" s="8">
        <f>'Model inputs'!M34-'Model inputs'!M54-'Model inputs'!M42</f>
        <v>-20.149999999999977</v>
      </c>
      <c r="N22" s="8">
        <f>'Model inputs'!N34-'Model inputs'!N54-'Model inputs'!N42</f>
        <v>-20.149999999999977</v>
      </c>
      <c r="O22" s="8">
        <f>'Model inputs'!O34-'Model inputs'!O54-'Model inputs'!O42</f>
        <v>-20.149999999999977</v>
      </c>
      <c r="P22" s="8">
        <f>'Model inputs'!P34-'Model inputs'!P54-'Model inputs'!P42</f>
        <v>-20.149999999999977</v>
      </c>
      <c r="Q22" s="8">
        <f>'Model inputs'!Q34-'Model inputs'!Q54-'Model inputs'!Q42</f>
        <v>-20.149999999999977</v>
      </c>
      <c r="R22" s="8">
        <f>'Model inputs'!R34-'Model inputs'!R54-'Model inputs'!R42</f>
        <v>-20.149999999999977</v>
      </c>
      <c r="S22" s="8">
        <f>'Model inputs'!S34-'Model inputs'!S54-'Model inputs'!S42</f>
        <v>-20.149999999999977</v>
      </c>
      <c r="T22" s="8">
        <f>'Model inputs'!T34-'Model inputs'!T54-'Model inputs'!T42</f>
        <v>-20.149999999999977</v>
      </c>
      <c r="U22" s="8">
        <f>'Model inputs'!U34-'Model inputs'!U54-'Model inputs'!U42</f>
        <v>-20.149999999999977</v>
      </c>
      <c r="V22" s="8">
        <f>'Model inputs'!V34-'Model inputs'!V54-'Model inputs'!V42</f>
        <v>-20.149999999999977</v>
      </c>
      <c r="W22" s="8">
        <f>'Model inputs'!W34-'Model inputs'!W54-'Model inputs'!W42</f>
        <v>-20.149999999999977</v>
      </c>
      <c r="X22" s="8">
        <f>'Model inputs'!X34-'Model inputs'!X54-'Model inputs'!X42</f>
        <v>-20.149999999999977</v>
      </c>
      <c r="Y22" s="8">
        <f>'Model inputs'!Y34-'Model inputs'!Y54-'Model inputs'!Y42</f>
        <v>-20.149999999999977</v>
      </c>
      <c r="Z22" s="8">
        <f>'Model inputs'!Z34-'Model inputs'!Z54-'Model inputs'!Z42</f>
        <v>-20.149999999999977</v>
      </c>
      <c r="AA22" s="8">
        <f>'Model inputs'!AA34-'Model inputs'!AA54-'Model inputs'!AA42</f>
        <v>-20.149999999999977</v>
      </c>
      <c r="AB22" s="8">
        <f>'Model inputs'!AB34-'Model inputs'!AB54-'Model inputs'!AB42</f>
        <v>-20.149999999999977</v>
      </c>
      <c r="AC22" s="8">
        <f>'Model inputs'!AC34-'Model inputs'!AC54-'Model inputs'!AC42</f>
        <v>-20.149999999999977</v>
      </c>
      <c r="AD22" s="8">
        <f>'Model inputs'!AD34-'Model inputs'!AD54-'Model inputs'!AD42</f>
        <v>-20.149999999999977</v>
      </c>
      <c r="AE22" s="8">
        <f>'Model inputs'!AE34-'Model inputs'!AE54-'Model inputs'!AE42</f>
        <v>-20.149999999999977</v>
      </c>
      <c r="AF22" s="8">
        <f>'Model inputs'!AF34-'Model inputs'!AF54-'Model inputs'!AF42</f>
        <v>-20.149999999999977</v>
      </c>
      <c r="AG22" s="8">
        <f>'Model inputs'!AG34-'Model inputs'!AG54-'Model inputs'!AG42</f>
        <v>-20.149999999999977</v>
      </c>
      <c r="AH22" s="8">
        <f>'Model inputs'!AH34-'Model inputs'!AH54-'Model inputs'!AH42</f>
        <v>-20.149999999999977</v>
      </c>
    </row>
    <row r="23">
      <c r="A23" t="inlineStr" s="11">
        <is>
          <t xml:space="preserve">Net cash flow · Growth · $0.60</t>
        </is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f>'Model inputs'!K35-'Model inputs'!K55-'Model inputs'!K43</f>
        <v>-170</v>
      </c>
      <c r="L23" s="8">
        <f>'Model inputs'!L35-'Model inputs'!L55-'Model inputs'!L43</f>
        <v>-252.875</v>
      </c>
      <c r="M23" s="8">
        <f>'Model inputs'!M35-'Model inputs'!M55-'Model inputs'!M43</f>
        <v>97.43124999999998</v>
      </c>
      <c r="N23" s="8">
        <f>'Model inputs'!N35-'Model inputs'!N55-'Model inputs'!N43</f>
        <v>164.2890625</v>
      </c>
      <c r="O23" s="8">
        <f>'Model inputs'!O35-'Model inputs'!O55-'Model inputs'!O43</f>
        <v>247.861328125</v>
      </c>
      <c r="P23" s="8">
        <f>'Model inputs'!P35-'Model inputs'!P55-'Model inputs'!P43</f>
        <v>352.32666015625</v>
      </c>
      <c r="Q23" s="8">
        <f>'Model inputs'!Q35-'Model inputs'!Q55-'Model inputs'!Q43</f>
        <v>482.9083251953125</v>
      </c>
      <c r="R23" s="8">
        <f>'Model inputs'!R35-'Model inputs'!R55-'Model inputs'!R43</f>
        <v>646.1354064941406</v>
      </c>
      <c r="S23" s="8">
        <f>'Model inputs'!S35-'Model inputs'!S55-'Model inputs'!S43</f>
        <v>850.1692581176758</v>
      </c>
      <c r="T23" s="8">
        <f>'Model inputs'!T35-'Model inputs'!T55-'Model inputs'!T43</f>
        <v>1105.2115726470947</v>
      </c>
      <c r="U23" s="8">
        <f>'Model inputs'!U35-'Model inputs'!U55-'Model inputs'!U43</f>
        <v>1424.0144658088684</v>
      </c>
      <c r="V23" s="8">
        <f>'Model inputs'!V35-'Model inputs'!V55-'Model inputs'!V43</f>
        <v>1822.5180822610855</v>
      </c>
      <c r="W23" s="8">
        <f>'Model inputs'!W35-'Model inputs'!W55-'Model inputs'!W43</f>
        <v>2320.647602826357</v>
      </c>
      <c r="X23" s="8">
        <f>'Model inputs'!X35-'Model inputs'!X55-'Model inputs'!X43</f>
        <v>3184.5074984431267</v>
      </c>
      <c r="Y23" s="8">
        <f>'Model inputs'!Y35-'Model inputs'!Y55-'Model inputs'!Y43</f>
        <v>3184.5074984431267</v>
      </c>
      <c r="Z23" s="8">
        <f>'Model inputs'!Z35-'Model inputs'!Z55-'Model inputs'!Z43</f>
        <v>3184.5074984431267</v>
      </c>
      <c r="AA23" s="8">
        <f>'Model inputs'!AA35-'Model inputs'!AA55-'Model inputs'!AA43</f>
        <v>3184.5074984431267</v>
      </c>
      <c r="AB23" s="8">
        <f>'Model inputs'!AB35-'Model inputs'!AB55-'Model inputs'!AB43</f>
        <v>3184.5074984431267</v>
      </c>
      <c r="AC23" s="8">
        <f>'Model inputs'!AC35-'Model inputs'!AC55-'Model inputs'!AC43</f>
        <v>3184.5074984431267</v>
      </c>
      <c r="AD23" s="8">
        <f>'Model inputs'!AD35-'Model inputs'!AD55-'Model inputs'!AD43</f>
        <v>3184.5074984431267</v>
      </c>
      <c r="AE23" s="8">
        <f>'Model inputs'!AE35-'Model inputs'!AE55-'Model inputs'!AE43</f>
        <v>3184.5074984431267</v>
      </c>
      <c r="AF23" s="8">
        <f>'Model inputs'!AF35-'Model inputs'!AF55-'Model inputs'!AF43</f>
        <v>3184.5074984431267</v>
      </c>
      <c r="AG23" s="8">
        <f>'Model inputs'!AG35-'Model inputs'!AG55-'Model inputs'!AG43</f>
        <v>3184.5074984431267</v>
      </c>
      <c r="AH23" s="8">
        <f>'Model inputs'!AH35-'Model inputs'!AH55-'Model inputs'!AH43</f>
        <v>3184.5074984431267</v>
      </c>
    </row>
    <row r="24">
      <c r="A24" t="inlineStr" s="11">
        <is>
          <t xml:space="preserve">Net cash flow · Base · $0.60</t>
        </is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f>'Model inputs'!K36-'Model inputs'!K56-'Model inputs'!K44</f>
        <v>-170</v>
      </c>
      <c r="L24" s="8">
        <f>'Model inputs'!L36-'Model inputs'!L56-'Model inputs'!L44</f>
        <v>-252.875</v>
      </c>
      <c r="M24" s="8">
        <f>'Model inputs'!M36-'Model inputs'!M56-'Model inputs'!M44</f>
        <v>118.14999999999998</v>
      </c>
      <c r="N24" s="8">
        <f>'Model inputs'!N36-'Model inputs'!N56-'Model inputs'!N44</f>
        <v>118.14999999999998</v>
      </c>
      <c r="O24" s="8">
        <f>'Model inputs'!O36-'Model inputs'!O56-'Model inputs'!O44</f>
        <v>118.14999999999998</v>
      </c>
      <c r="P24" s="8">
        <f>'Model inputs'!P36-'Model inputs'!P56-'Model inputs'!P44</f>
        <v>118.14999999999998</v>
      </c>
      <c r="Q24" s="8">
        <f>'Model inputs'!Q36-'Model inputs'!Q56-'Model inputs'!Q44</f>
        <v>118.14999999999998</v>
      </c>
      <c r="R24" s="8">
        <f>'Model inputs'!R36-'Model inputs'!R56-'Model inputs'!R44</f>
        <v>118.14999999999998</v>
      </c>
      <c r="S24" s="8">
        <f>'Model inputs'!S36-'Model inputs'!S56-'Model inputs'!S44</f>
        <v>118.14999999999998</v>
      </c>
      <c r="T24" s="8">
        <f>'Model inputs'!T36-'Model inputs'!T56-'Model inputs'!T44</f>
        <v>118.14999999999998</v>
      </c>
      <c r="U24" s="8">
        <f>'Model inputs'!U36-'Model inputs'!U56-'Model inputs'!U44</f>
        <v>118.14999999999998</v>
      </c>
      <c r="V24" s="8">
        <f>'Model inputs'!V36-'Model inputs'!V56-'Model inputs'!V44</f>
        <v>118.14999999999998</v>
      </c>
      <c r="W24" s="8">
        <f>'Model inputs'!W36-'Model inputs'!W56-'Model inputs'!W44</f>
        <v>118.14999999999998</v>
      </c>
      <c r="X24" s="8">
        <f>'Model inputs'!X36-'Model inputs'!X56-'Model inputs'!X44</f>
        <v>118.14999999999998</v>
      </c>
      <c r="Y24" s="8">
        <f>'Model inputs'!Y36-'Model inputs'!Y56-'Model inputs'!Y44</f>
        <v>118.14999999999998</v>
      </c>
      <c r="Z24" s="8">
        <f>'Model inputs'!Z36-'Model inputs'!Z56-'Model inputs'!Z44</f>
        <v>118.14999999999998</v>
      </c>
      <c r="AA24" s="8">
        <f>'Model inputs'!AA36-'Model inputs'!AA56-'Model inputs'!AA44</f>
        <v>118.14999999999998</v>
      </c>
      <c r="AB24" s="8">
        <f>'Model inputs'!AB36-'Model inputs'!AB56-'Model inputs'!AB44</f>
        <v>118.14999999999998</v>
      </c>
      <c r="AC24" s="8">
        <f>'Model inputs'!AC36-'Model inputs'!AC56-'Model inputs'!AC44</f>
        <v>118.14999999999998</v>
      </c>
      <c r="AD24" s="8">
        <f>'Model inputs'!AD36-'Model inputs'!AD56-'Model inputs'!AD44</f>
        <v>118.14999999999998</v>
      </c>
      <c r="AE24" s="8">
        <f>'Model inputs'!AE36-'Model inputs'!AE56-'Model inputs'!AE44</f>
        <v>118.14999999999998</v>
      </c>
      <c r="AF24" s="8">
        <f>'Model inputs'!AF36-'Model inputs'!AF56-'Model inputs'!AF44</f>
        <v>118.14999999999998</v>
      </c>
      <c r="AG24" s="8">
        <f>'Model inputs'!AG36-'Model inputs'!AG56-'Model inputs'!AG44</f>
        <v>118.14999999999998</v>
      </c>
      <c r="AH24" s="8">
        <f>'Model inputs'!AH36-'Model inputs'!AH56-'Model inputs'!AH44</f>
        <v>118.14999999999998</v>
      </c>
    </row>
    <row r="25">
      <c r="A25" t="inlineStr" s="11">
        <is>
          <t xml:space="preserve">Net cash flow · Growth · $0.34</t>
        </is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f>'Model inputs'!K37-'Model inputs'!K57-'Model inputs'!K45</f>
        <v>-170</v>
      </c>
      <c r="L25" s="8">
        <f>'Model inputs'!L37-'Model inputs'!L57-'Model inputs'!L45</f>
        <v>-267.5</v>
      </c>
      <c r="M25" s="8">
        <f>'Model inputs'!M37-'Model inputs'!M57-'Model inputs'!M45</f>
        <v>-44.52499999999998</v>
      </c>
      <c r="N25" s="8">
        <f>'Model inputs'!N37-'Model inputs'!N57-'Model inputs'!N45</f>
        <v>-13.15625</v>
      </c>
      <c r="O25" s="8">
        <f>'Model inputs'!O37-'Model inputs'!O57-'Model inputs'!O45</f>
        <v>26.054687500000057</v>
      </c>
      <c r="P25" s="8">
        <f>'Model inputs'!P37-'Model inputs'!P57-'Model inputs'!P45</f>
        <v>75.06835937500006</v>
      </c>
      <c r="Q25" s="8">
        <f>'Model inputs'!Q37-'Model inputs'!Q57-'Model inputs'!Q45</f>
        <v>136.33544921875</v>
      </c>
      <c r="R25" s="8">
        <f>'Model inputs'!R37-'Model inputs'!R57-'Model inputs'!R45</f>
        <v>212.9193115234375</v>
      </c>
      <c r="S25" s="8">
        <f>'Model inputs'!S37-'Model inputs'!S57-'Model inputs'!S45</f>
        <v>308.649139404297</v>
      </c>
      <c r="T25" s="8">
        <f>'Model inputs'!T37-'Model inputs'!T57-'Model inputs'!T45</f>
        <v>428.3114242553711</v>
      </c>
      <c r="U25" s="8">
        <f>'Model inputs'!U37-'Model inputs'!U57-'Model inputs'!U45</f>
        <v>577.8892803192139</v>
      </c>
      <c r="V25" s="8">
        <f>'Model inputs'!V37-'Model inputs'!V57-'Model inputs'!V45</f>
        <v>764.8616003990176</v>
      </c>
      <c r="W25" s="8">
        <f>'Model inputs'!W37-'Model inputs'!W57-'Model inputs'!W45</f>
        <v>998.5770004987717</v>
      </c>
      <c r="X25" s="8">
        <f>'Model inputs'!X37-'Model inputs'!X57-'Model inputs'!X45</f>
        <v>1574.4835975766182</v>
      </c>
      <c r="Y25" s="8">
        <f>'Model inputs'!Y37-'Model inputs'!Y57-'Model inputs'!Y45</f>
        <v>1574.4835975766182</v>
      </c>
      <c r="Z25" s="8">
        <f>'Model inputs'!Z37-'Model inputs'!Z57-'Model inputs'!Z45</f>
        <v>1574.4835975766182</v>
      </c>
      <c r="AA25" s="8">
        <f>'Model inputs'!AA37-'Model inputs'!AA57-'Model inputs'!AA45</f>
        <v>1574.4835975766182</v>
      </c>
      <c r="AB25" s="8">
        <f>'Model inputs'!AB37-'Model inputs'!AB57-'Model inputs'!AB45</f>
        <v>1574.4835975766182</v>
      </c>
      <c r="AC25" s="8">
        <f>'Model inputs'!AC37-'Model inputs'!AC57-'Model inputs'!AC45</f>
        <v>1574.4835975766182</v>
      </c>
      <c r="AD25" s="8">
        <f>'Model inputs'!AD37-'Model inputs'!AD57-'Model inputs'!AD45</f>
        <v>1574.4835975766182</v>
      </c>
      <c r="AE25" s="8">
        <f>'Model inputs'!AE37-'Model inputs'!AE57-'Model inputs'!AE45</f>
        <v>1574.4835975766182</v>
      </c>
      <c r="AF25" s="8">
        <f>'Model inputs'!AF37-'Model inputs'!AF57-'Model inputs'!AF45</f>
        <v>1574.4835975766182</v>
      </c>
      <c r="AG25" s="8">
        <f>'Model inputs'!AG37-'Model inputs'!AG57-'Model inputs'!AG45</f>
        <v>1574.4835975766182</v>
      </c>
      <c r="AH25" s="8">
        <f>'Model inputs'!AH37-'Model inputs'!AH57-'Model inputs'!AH45</f>
        <v>1574.4835975766182</v>
      </c>
    </row>
    <row r="26">
      <c r="A26" t="inlineStr" s="11">
        <is>
          <t xml:space="preserve">Operating profit · Main Scenario</t>
        </is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f>'Model inputs'!K14-'Model inputs'!K42</f>
        <v>-170</v>
      </c>
      <c r="L26" s="8">
        <f>'Model inputs'!L14-'Model inputs'!L42</f>
        <v>-20.149999999999977</v>
      </c>
      <c r="M26" s="8">
        <f>'Model inputs'!M14-'Model inputs'!M42</f>
        <v>-20.149999999999977</v>
      </c>
      <c r="N26" s="8">
        <f>'Model inputs'!N14-'Model inputs'!N42</f>
        <v>-20.149999999999977</v>
      </c>
      <c r="O26" s="8">
        <f>'Model inputs'!O14-'Model inputs'!O42</f>
        <v>-20.149999999999977</v>
      </c>
      <c r="P26" s="8">
        <f>'Model inputs'!P14-'Model inputs'!P42</f>
        <v>-20.149999999999977</v>
      </c>
      <c r="Q26" s="8">
        <f>'Model inputs'!Q14-'Model inputs'!Q42</f>
        <v>-20.149999999999977</v>
      </c>
      <c r="R26" s="8">
        <f>'Model inputs'!R14-'Model inputs'!R42</f>
        <v>-20.149999999999977</v>
      </c>
      <c r="S26" s="8">
        <f>'Model inputs'!S14-'Model inputs'!S42</f>
        <v>-20.149999999999977</v>
      </c>
      <c r="T26" s="8">
        <f>'Model inputs'!T14-'Model inputs'!T42</f>
        <v>-20.149999999999977</v>
      </c>
      <c r="U26" s="8">
        <f>'Model inputs'!U14-'Model inputs'!U42</f>
        <v>-20.149999999999977</v>
      </c>
      <c r="V26" s="8">
        <f>'Model inputs'!V14-'Model inputs'!V42</f>
        <v>-20.149999999999977</v>
      </c>
      <c r="W26" s="8">
        <f>'Model inputs'!W14-'Model inputs'!W42</f>
        <v>-20.149999999999977</v>
      </c>
      <c r="X26" s="8">
        <f>'Model inputs'!X14-'Model inputs'!X42</f>
        <v>-20.149999999999977</v>
      </c>
      <c r="Y26" s="8">
        <f>'Model inputs'!Y14-'Model inputs'!Y42</f>
        <v>-20.149999999999977</v>
      </c>
      <c r="Z26" s="8">
        <f>'Model inputs'!Z14-'Model inputs'!Z42</f>
        <v>-20.149999999999977</v>
      </c>
      <c r="AA26" s="8">
        <f>'Model inputs'!AA14-'Model inputs'!AA42</f>
        <v>-20.149999999999977</v>
      </c>
      <c r="AB26" s="8">
        <f>'Model inputs'!AB14-'Model inputs'!AB42</f>
        <v>-20.149999999999977</v>
      </c>
      <c r="AC26" s="8">
        <f>'Model inputs'!AC14-'Model inputs'!AC42</f>
        <v>-20.149999999999977</v>
      </c>
      <c r="AD26" s="8">
        <f>'Model inputs'!AD14-'Model inputs'!AD42</f>
        <v>-20.149999999999977</v>
      </c>
      <c r="AE26" s="8">
        <f>'Model inputs'!AE14-'Model inputs'!AE42</f>
        <v>-20.149999999999977</v>
      </c>
      <c r="AF26" s="8">
        <f>'Model inputs'!AF14-'Model inputs'!AF42</f>
        <v>-20.149999999999977</v>
      </c>
      <c r="AG26" s="8">
        <f>'Model inputs'!AG14-'Model inputs'!AG42</f>
        <v>-20.149999999999977</v>
      </c>
      <c r="AH26" s="8">
        <f>'Model inputs'!AH14-'Model inputs'!AH42</f>
        <v>-20.149999999999977</v>
      </c>
    </row>
    <row r="27">
      <c r="A27" t="inlineStr" s="11">
        <is>
          <t xml:space="preserve">Operating profit · Growth · $0.60</t>
        </is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f>'Model inputs'!K15-'Model inputs'!K43</f>
        <v>-170</v>
      </c>
      <c r="L27" s="8">
        <f>'Model inputs'!L15-'Model inputs'!L43</f>
        <v>118.14999999999998</v>
      </c>
      <c r="M27" s="8">
        <f>'Model inputs'!M15-'Model inputs'!M43</f>
        <v>190.1875</v>
      </c>
      <c r="N27" s="8">
        <f>'Model inputs'!N15-'Model inputs'!N43</f>
        <v>280.234375</v>
      </c>
      <c r="O27" s="8">
        <f>'Model inputs'!O15-'Model inputs'!O43</f>
        <v>392.79296875</v>
      </c>
      <c r="P27" s="8">
        <f>'Model inputs'!P15-'Model inputs'!P43</f>
        <v>533.4912109375</v>
      </c>
      <c r="Q27" s="8">
        <f>'Model inputs'!Q15-'Model inputs'!Q43</f>
        <v>709.364013671875</v>
      </c>
      <c r="R27" s="8">
        <f>'Model inputs'!R15-'Model inputs'!R43</f>
        <v>929.2050170898438</v>
      </c>
      <c r="S27" s="8">
        <f>'Model inputs'!S15-'Model inputs'!S43</f>
        <v>1204.0062713623047</v>
      </c>
      <c r="T27" s="8">
        <f>'Model inputs'!T15-'Model inputs'!T43</f>
        <v>1547.5078392028809</v>
      </c>
      <c r="U27" s="8">
        <f>'Model inputs'!U15-'Model inputs'!U43</f>
        <v>1976.884799003601</v>
      </c>
      <c r="V27" s="8">
        <f>'Model inputs'!V15-'Model inputs'!V43</f>
        <v>2513.6059987545013</v>
      </c>
      <c r="W27" s="8">
        <f>'Model inputs'!W15-'Model inputs'!W43</f>
        <v>3184.5074984431267</v>
      </c>
      <c r="X27" s="8">
        <f>'Model inputs'!X15-'Model inputs'!X43</f>
        <v>3184.5074984431267</v>
      </c>
      <c r="Y27" s="8">
        <f>'Model inputs'!Y15-'Model inputs'!Y43</f>
        <v>3184.5074984431267</v>
      </c>
      <c r="Z27" s="8">
        <f>'Model inputs'!Z15-'Model inputs'!Z43</f>
        <v>3184.5074984431267</v>
      </c>
      <c r="AA27" s="8">
        <f>'Model inputs'!AA15-'Model inputs'!AA43</f>
        <v>3184.5074984431267</v>
      </c>
      <c r="AB27" s="8">
        <f>'Model inputs'!AB15-'Model inputs'!AB43</f>
        <v>3184.5074984431267</v>
      </c>
      <c r="AC27" s="8">
        <f>'Model inputs'!AC15-'Model inputs'!AC43</f>
        <v>3184.5074984431267</v>
      </c>
      <c r="AD27" s="8">
        <f>'Model inputs'!AD15-'Model inputs'!AD43</f>
        <v>3184.5074984431267</v>
      </c>
      <c r="AE27" s="8">
        <f>'Model inputs'!AE15-'Model inputs'!AE43</f>
        <v>3184.5074984431267</v>
      </c>
      <c r="AF27" s="8">
        <f>'Model inputs'!AF15-'Model inputs'!AF43</f>
        <v>3184.5074984431267</v>
      </c>
      <c r="AG27" s="8">
        <f>'Model inputs'!AG15-'Model inputs'!AG43</f>
        <v>3184.5074984431267</v>
      </c>
      <c r="AH27" s="8">
        <f>'Model inputs'!AH15-'Model inputs'!AH43</f>
        <v>3184.5074984431267</v>
      </c>
    </row>
    <row r="28">
      <c r="A28" t="inlineStr" s="11">
        <is>
          <t xml:space="preserve">Operating profit · Base · $0.60</t>
        </is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f>'Model inputs'!K16-'Model inputs'!K44</f>
        <v>-170</v>
      </c>
      <c r="L28" s="8">
        <f>'Model inputs'!L16-'Model inputs'!L44</f>
        <v>118.14999999999998</v>
      </c>
      <c r="M28" s="8">
        <f>'Model inputs'!M16-'Model inputs'!M44</f>
        <v>118.14999999999998</v>
      </c>
      <c r="N28" s="8">
        <f>'Model inputs'!N16-'Model inputs'!N44</f>
        <v>118.14999999999998</v>
      </c>
      <c r="O28" s="8">
        <f>'Model inputs'!O16-'Model inputs'!O44</f>
        <v>118.14999999999998</v>
      </c>
      <c r="P28" s="8">
        <f>'Model inputs'!P16-'Model inputs'!P44</f>
        <v>118.14999999999998</v>
      </c>
      <c r="Q28" s="8">
        <f>'Model inputs'!Q16-'Model inputs'!Q44</f>
        <v>118.14999999999998</v>
      </c>
      <c r="R28" s="8">
        <f>'Model inputs'!R16-'Model inputs'!R44</f>
        <v>118.14999999999998</v>
      </c>
      <c r="S28" s="8">
        <f>'Model inputs'!S16-'Model inputs'!S44</f>
        <v>118.14999999999998</v>
      </c>
      <c r="T28" s="8">
        <f>'Model inputs'!T16-'Model inputs'!T44</f>
        <v>118.14999999999998</v>
      </c>
      <c r="U28" s="8">
        <f>'Model inputs'!U16-'Model inputs'!U44</f>
        <v>118.14999999999998</v>
      </c>
      <c r="V28" s="8">
        <f>'Model inputs'!V16-'Model inputs'!V44</f>
        <v>118.14999999999998</v>
      </c>
      <c r="W28" s="8">
        <f>'Model inputs'!W16-'Model inputs'!W44</f>
        <v>118.14999999999998</v>
      </c>
      <c r="X28" s="8">
        <f>'Model inputs'!X16-'Model inputs'!X44</f>
        <v>118.14999999999998</v>
      </c>
      <c r="Y28" s="8">
        <f>'Model inputs'!Y16-'Model inputs'!Y44</f>
        <v>118.14999999999998</v>
      </c>
      <c r="Z28" s="8">
        <f>'Model inputs'!Z16-'Model inputs'!Z44</f>
        <v>118.14999999999998</v>
      </c>
      <c r="AA28" s="8">
        <f>'Model inputs'!AA16-'Model inputs'!AA44</f>
        <v>118.14999999999998</v>
      </c>
      <c r="AB28" s="8">
        <f>'Model inputs'!AB16-'Model inputs'!AB44</f>
        <v>118.14999999999998</v>
      </c>
      <c r="AC28" s="8">
        <f>'Model inputs'!AC16-'Model inputs'!AC44</f>
        <v>118.14999999999998</v>
      </c>
      <c r="AD28" s="8">
        <f>'Model inputs'!AD16-'Model inputs'!AD44</f>
        <v>118.14999999999998</v>
      </c>
      <c r="AE28" s="8">
        <f>'Model inputs'!AE16-'Model inputs'!AE44</f>
        <v>118.14999999999998</v>
      </c>
      <c r="AF28" s="8">
        <f>'Model inputs'!AF16-'Model inputs'!AF44</f>
        <v>118.14999999999998</v>
      </c>
      <c r="AG28" s="8">
        <f>'Model inputs'!AG16-'Model inputs'!AG44</f>
        <v>118.14999999999998</v>
      </c>
      <c r="AH28" s="8">
        <f>'Model inputs'!AH16-'Model inputs'!AH44</f>
        <v>118.14999999999998</v>
      </c>
    </row>
    <row r="29">
      <c r="A29" t="inlineStr" s="11">
        <is>
          <t xml:space="preserve">Operating profit · Growth · $0.34</t>
        </is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f>'Model inputs'!K17-'Model inputs'!K45</f>
        <v>-170</v>
      </c>
      <c r="L29" s="8">
        <f>'Model inputs'!L17-'Model inputs'!L45</f>
        <v>-20.149999999999977</v>
      </c>
      <c r="M29" s="8">
        <f>'Model inputs'!M17-'Model inputs'!M45</f>
        <v>17.3125</v>
      </c>
      <c r="N29" s="8">
        <f>'Model inputs'!N17-'Model inputs'!N45</f>
        <v>64.14062500000006</v>
      </c>
      <c r="O29" s="8">
        <f>'Model inputs'!O17-'Model inputs'!O45</f>
        <v>122.67578125000006</v>
      </c>
      <c r="P29" s="8">
        <f>'Model inputs'!P17-'Model inputs'!P45</f>
        <v>195.8447265625</v>
      </c>
      <c r="Q29" s="8">
        <f>'Model inputs'!Q17-'Model inputs'!Q45</f>
        <v>287.305908203125</v>
      </c>
      <c r="R29" s="8">
        <f>'Model inputs'!R17-'Model inputs'!R45</f>
        <v>401.63238525390636</v>
      </c>
      <c r="S29" s="8">
        <f>'Model inputs'!S17-'Model inputs'!S45</f>
        <v>544.5404815673828</v>
      </c>
      <c r="T29" s="8">
        <f>'Model inputs'!T17-'Model inputs'!T45</f>
        <v>723.1756019592285</v>
      </c>
      <c r="U29" s="8">
        <f>'Model inputs'!U17-'Model inputs'!U45</f>
        <v>946.4695024490359</v>
      </c>
      <c r="V29" s="8">
        <f>'Model inputs'!V17-'Model inputs'!V45</f>
        <v>1225.5868780612946</v>
      </c>
      <c r="W29" s="8">
        <f>'Model inputs'!W17-'Model inputs'!W45</f>
        <v>1574.4835975766182</v>
      </c>
      <c r="X29" s="8">
        <f>'Model inputs'!X17-'Model inputs'!X45</f>
        <v>1574.4835975766182</v>
      </c>
      <c r="Y29" s="8">
        <f>'Model inputs'!Y17-'Model inputs'!Y45</f>
        <v>1574.4835975766182</v>
      </c>
      <c r="Z29" s="8">
        <f>'Model inputs'!Z17-'Model inputs'!Z45</f>
        <v>1574.4835975766182</v>
      </c>
      <c r="AA29" s="8">
        <f>'Model inputs'!AA17-'Model inputs'!AA45</f>
        <v>1574.4835975766182</v>
      </c>
      <c r="AB29" s="8">
        <f>'Model inputs'!AB17-'Model inputs'!AB45</f>
        <v>1574.4835975766182</v>
      </c>
      <c r="AC29" s="8">
        <f>'Model inputs'!AC17-'Model inputs'!AC45</f>
        <v>1574.4835975766182</v>
      </c>
      <c r="AD29" s="8">
        <f>'Model inputs'!AD17-'Model inputs'!AD45</f>
        <v>1574.4835975766182</v>
      </c>
      <c r="AE29" s="8">
        <f>'Model inputs'!AE17-'Model inputs'!AE45</f>
        <v>1574.4835975766182</v>
      </c>
      <c r="AF29" s="8">
        <f>'Model inputs'!AF17-'Model inputs'!AF45</f>
        <v>1574.4835975766182</v>
      </c>
      <c r="AG29" s="8">
        <f>'Model inputs'!AG17-'Model inputs'!AG45</f>
        <v>1574.4835975766182</v>
      </c>
      <c r="AH29" s="8">
        <f>'Model inputs'!AH17-'Model inputs'!AH45</f>
        <v>1574.4835975766182</v>
      </c>
    </row>
    <row r="30">
      <c r="A30" t="inlineStr" s="11">
        <is>
          <t xml:space="preserve">Revenue · Main Scenario</t>
        </is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f>'Model inputs'!K78*'Model inputs'!AI70</f>
        <v>0</v>
      </c>
      <c r="L30" s="8">
        <f>'Model inputs'!L78*'Model inputs'!AI70</f>
        <v>255.00000000000003</v>
      </c>
      <c r="M30" s="8">
        <f>'Model inputs'!M78*'Model inputs'!AI70</f>
        <v>255.00000000000003</v>
      </c>
      <c r="N30" s="8">
        <f>'Model inputs'!N78*'Model inputs'!AI70</f>
        <v>255.00000000000003</v>
      </c>
      <c r="O30" s="8">
        <f>'Model inputs'!O78*'Model inputs'!AI70</f>
        <v>255.00000000000003</v>
      </c>
      <c r="P30" s="8">
        <f>'Model inputs'!P78*'Model inputs'!AI70</f>
        <v>255.00000000000003</v>
      </c>
      <c r="Q30" s="8">
        <f>'Model inputs'!Q78*'Model inputs'!AI70</f>
        <v>255.00000000000003</v>
      </c>
      <c r="R30" s="8">
        <f>'Model inputs'!R78*'Model inputs'!AI70</f>
        <v>255.00000000000003</v>
      </c>
      <c r="S30" s="8">
        <f>'Model inputs'!S78*'Model inputs'!AI70</f>
        <v>255.00000000000003</v>
      </c>
      <c r="T30" s="8">
        <f>'Model inputs'!T78*'Model inputs'!AI70</f>
        <v>255.00000000000003</v>
      </c>
      <c r="U30" s="8">
        <f>'Model inputs'!U78*'Model inputs'!AI70</f>
        <v>255.00000000000003</v>
      </c>
      <c r="V30" s="8">
        <f>'Model inputs'!V78*'Model inputs'!AI70</f>
        <v>255.00000000000003</v>
      </c>
      <c r="W30" s="8">
        <f>'Model inputs'!W78*'Model inputs'!AI70</f>
        <v>255.00000000000003</v>
      </c>
      <c r="X30" s="8">
        <f>'Model inputs'!X78*'Model inputs'!AI70</f>
        <v>255.00000000000003</v>
      </c>
      <c r="Y30" s="8">
        <f>'Model inputs'!Y78*'Model inputs'!AI70</f>
        <v>255.00000000000003</v>
      </c>
      <c r="Z30" s="8">
        <f>'Model inputs'!Z78*'Model inputs'!AI70</f>
        <v>255.00000000000003</v>
      </c>
      <c r="AA30" s="8">
        <f>'Model inputs'!AA78*'Model inputs'!AI70</f>
        <v>255.00000000000003</v>
      </c>
      <c r="AB30" s="8">
        <f>'Model inputs'!AB78*'Model inputs'!AI70</f>
        <v>255.00000000000003</v>
      </c>
      <c r="AC30" s="8">
        <f>'Model inputs'!AC78*'Model inputs'!AI70</f>
        <v>255.00000000000003</v>
      </c>
      <c r="AD30" s="8">
        <f>'Model inputs'!AD78*'Model inputs'!AI70</f>
        <v>255.00000000000003</v>
      </c>
      <c r="AE30" s="8">
        <f>'Model inputs'!AE78*'Model inputs'!AI70</f>
        <v>255.00000000000003</v>
      </c>
      <c r="AF30" s="8">
        <f>'Model inputs'!AF78*'Model inputs'!AI70</f>
        <v>255.00000000000003</v>
      </c>
      <c r="AG30" s="8">
        <f>'Model inputs'!AG78*'Model inputs'!AI70</f>
        <v>255.00000000000003</v>
      </c>
      <c r="AH30" s="8">
        <f>'Model inputs'!AH78*'Model inputs'!AI70</f>
        <v>255.00000000000003</v>
      </c>
    </row>
    <row r="31">
      <c r="A31" t="inlineStr" s="11">
        <is>
          <t xml:space="preserve">Revenue · Growth · $0.60</t>
        </is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f>'Model inputs'!K79*'Model inputs'!AI71</f>
        <v>0</v>
      </c>
      <c r="L31" s="8">
        <f>'Model inputs'!L79*'Model inputs'!AI71</f>
        <v>382.5</v>
      </c>
      <c r="M31" s="8">
        <f>'Model inputs'!M79*'Model inputs'!AI71</f>
        <v>478.125</v>
      </c>
      <c r="N31" s="8">
        <f>'Model inputs'!N79*'Model inputs'!AI71</f>
        <v>597.65625</v>
      </c>
      <c r="O31" s="8">
        <f>'Model inputs'!O79*'Model inputs'!AI71</f>
        <v>747.0703125</v>
      </c>
      <c r="P31" s="8">
        <f>'Model inputs'!P79*'Model inputs'!AI71</f>
        <v>933.837890625</v>
      </c>
      <c r="Q31" s="8">
        <f>'Model inputs'!Q79*'Model inputs'!AI71</f>
        <v>1167.29736328125</v>
      </c>
      <c r="R31" s="8">
        <f>'Model inputs'!R79*'Model inputs'!AI71</f>
        <v>1459.1217041015625</v>
      </c>
      <c r="S31" s="8">
        <f>'Model inputs'!S79*'Model inputs'!AI71</f>
        <v>1823.9021301269531</v>
      </c>
      <c r="T31" s="8">
        <f>'Model inputs'!T79*'Model inputs'!AI71</f>
        <v>2279.8776626586914</v>
      </c>
      <c r="U31" s="8">
        <f>'Model inputs'!U79*'Model inputs'!AI71</f>
        <v>2849.8470783233643</v>
      </c>
      <c r="V31" s="8">
        <f>'Model inputs'!V79*'Model inputs'!AI71</f>
        <v>3562.3088479042053</v>
      </c>
      <c r="W31" s="8">
        <f>'Model inputs'!W79*'Model inputs'!AI71</f>
        <v>4452.886059880257</v>
      </c>
      <c r="X31" s="8">
        <f>'Model inputs'!X79*'Model inputs'!AI71</f>
        <v>4452.886059880257</v>
      </c>
      <c r="Y31" s="8">
        <f>'Model inputs'!Y79*'Model inputs'!AI71</f>
        <v>4452.886059880257</v>
      </c>
      <c r="Z31" s="8">
        <f>'Model inputs'!Z79*'Model inputs'!AI71</f>
        <v>4452.886059880257</v>
      </c>
      <c r="AA31" s="8">
        <f>'Model inputs'!AA79*'Model inputs'!AI71</f>
        <v>4452.886059880257</v>
      </c>
      <c r="AB31" s="8">
        <f>'Model inputs'!AB79*'Model inputs'!AI71</f>
        <v>4452.886059880257</v>
      </c>
      <c r="AC31" s="8">
        <f>'Model inputs'!AC79*'Model inputs'!AI71</f>
        <v>4452.886059880257</v>
      </c>
      <c r="AD31" s="8">
        <f>'Model inputs'!AD79*'Model inputs'!AI71</f>
        <v>4452.886059880257</v>
      </c>
      <c r="AE31" s="8">
        <f>'Model inputs'!AE79*'Model inputs'!AI71</f>
        <v>4452.886059880257</v>
      </c>
      <c r="AF31" s="8">
        <f>'Model inputs'!AF79*'Model inputs'!AI71</f>
        <v>4452.886059880257</v>
      </c>
      <c r="AG31" s="8">
        <f>'Model inputs'!AG79*'Model inputs'!AI71</f>
        <v>4452.886059880257</v>
      </c>
      <c r="AH31" s="8">
        <f>'Model inputs'!AH79*'Model inputs'!AI71</f>
        <v>4452.886059880257</v>
      </c>
    </row>
    <row r="32">
      <c r="A32" t="inlineStr" s="11">
        <is>
          <t xml:space="preserve">Revenue · Base · $0.60</t>
        </is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f>'Model inputs'!K80*'Model inputs'!AI72</f>
        <v>0</v>
      </c>
      <c r="L32" s="8">
        <f>'Model inputs'!L80*'Model inputs'!AI72</f>
        <v>382.5</v>
      </c>
      <c r="M32" s="8">
        <f>'Model inputs'!M80*'Model inputs'!AI72</f>
        <v>382.5</v>
      </c>
      <c r="N32" s="8">
        <f>'Model inputs'!N80*'Model inputs'!AI72</f>
        <v>382.5</v>
      </c>
      <c r="O32" s="8">
        <f>'Model inputs'!O80*'Model inputs'!AI72</f>
        <v>382.5</v>
      </c>
      <c r="P32" s="8">
        <f>'Model inputs'!P80*'Model inputs'!AI72</f>
        <v>382.5</v>
      </c>
      <c r="Q32" s="8">
        <f>'Model inputs'!Q80*'Model inputs'!AI72</f>
        <v>382.5</v>
      </c>
      <c r="R32" s="8">
        <f>'Model inputs'!R80*'Model inputs'!AI72</f>
        <v>382.5</v>
      </c>
      <c r="S32" s="8">
        <f>'Model inputs'!S80*'Model inputs'!AI72</f>
        <v>382.5</v>
      </c>
      <c r="T32" s="8">
        <f>'Model inputs'!T80*'Model inputs'!AI72</f>
        <v>382.5</v>
      </c>
      <c r="U32" s="8">
        <f>'Model inputs'!U80*'Model inputs'!AI72</f>
        <v>382.5</v>
      </c>
      <c r="V32" s="8">
        <f>'Model inputs'!V80*'Model inputs'!AI72</f>
        <v>382.5</v>
      </c>
      <c r="W32" s="8">
        <f>'Model inputs'!W80*'Model inputs'!AI72</f>
        <v>382.5</v>
      </c>
      <c r="X32" s="8">
        <f>'Model inputs'!X80*'Model inputs'!AI72</f>
        <v>382.5</v>
      </c>
      <c r="Y32" s="8">
        <f>'Model inputs'!Y80*'Model inputs'!AI72</f>
        <v>382.5</v>
      </c>
      <c r="Z32" s="8">
        <f>'Model inputs'!Z80*'Model inputs'!AI72</f>
        <v>382.5</v>
      </c>
      <c r="AA32" s="8">
        <f>'Model inputs'!AA80*'Model inputs'!AI72</f>
        <v>382.5</v>
      </c>
      <c r="AB32" s="8">
        <f>'Model inputs'!AB80*'Model inputs'!AI72</f>
        <v>382.5</v>
      </c>
      <c r="AC32" s="8">
        <f>'Model inputs'!AC80*'Model inputs'!AI72</f>
        <v>382.5</v>
      </c>
      <c r="AD32" s="8">
        <f>'Model inputs'!AD80*'Model inputs'!AI72</f>
        <v>382.5</v>
      </c>
      <c r="AE32" s="8">
        <f>'Model inputs'!AE80*'Model inputs'!AI72</f>
        <v>382.5</v>
      </c>
      <c r="AF32" s="8">
        <f>'Model inputs'!AF80*'Model inputs'!AI72</f>
        <v>382.5</v>
      </c>
      <c r="AG32" s="8">
        <f>'Model inputs'!AG80*'Model inputs'!AI72</f>
        <v>382.5</v>
      </c>
      <c r="AH32" s="8">
        <f>'Model inputs'!AH80*'Model inputs'!AI72</f>
        <v>382.5</v>
      </c>
    </row>
    <row r="33">
      <c r="A33" t="inlineStr" s="11">
        <is>
          <t xml:space="preserve">Revenue · Growth · $0.34</t>
        </is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f>'Model inputs'!K81*'Model inputs'!AI73</f>
        <v>0</v>
      </c>
      <c r="L33" s="8">
        <f>'Model inputs'!L81*'Model inputs'!AI73</f>
        <v>255.00000000000003</v>
      </c>
      <c r="M33" s="8">
        <f>'Model inputs'!M81*'Model inputs'!AI73</f>
        <v>318.75</v>
      </c>
      <c r="N33" s="8">
        <f>'Model inputs'!N81*'Model inputs'!AI73</f>
        <v>398.43750000000006</v>
      </c>
      <c r="O33" s="8">
        <f>'Model inputs'!O81*'Model inputs'!AI73</f>
        <v>498.04687500000006</v>
      </c>
      <c r="P33" s="8">
        <f>'Model inputs'!P81*'Model inputs'!AI73</f>
        <v>622.55859375</v>
      </c>
      <c r="Q33" s="8">
        <f>'Model inputs'!Q81*'Model inputs'!AI73</f>
        <v>778.1982421875</v>
      </c>
      <c r="R33" s="8">
        <f>'Model inputs'!R81*'Model inputs'!AI73</f>
        <v>972.7478027343751</v>
      </c>
      <c r="S33" s="8">
        <f>'Model inputs'!S81*'Model inputs'!AI73</f>
        <v>1215.9347534179688</v>
      </c>
      <c r="T33" s="8">
        <f>'Model inputs'!T81*'Model inputs'!AI73</f>
        <v>1519.918441772461</v>
      </c>
      <c r="U33" s="8">
        <f>'Model inputs'!U81*'Model inputs'!AI73</f>
        <v>1899.8980522155764</v>
      </c>
      <c r="V33" s="8">
        <f>'Model inputs'!V81*'Model inputs'!AI73</f>
        <v>2374.87256526947</v>
      </c>
      <c r="W33" s="8">
        <f>'Model inputs'!W81*'Model inputs'!AI73</f>
        <v>2968.5907065868378</v>
      </c>
      <c r="X33" s="8">
        <f>'Model inputs'!X81*'Model inputs'!AI73</f>
        <v>2968.5907065868378</v>
      </c>
      <c r="Y33" s="8">
        <f>'Model inputs'!Y81*'Model inputs'!AI73</f>
        <v>2968.5907065868378</v>
      </c>
      <c r="Z33" s="8">
        <f>'Model inputs'!Z81*'Model inputs'!AI73</f>
        <v>2968.5907065868378</v>
      </c>
      <c r="AA33" s="8">
        <f>'Model inputs'!AA81*'Model inputs'!AI73</f>
        <v>2968.5907065868378</v>
      </c>
      <c r="AB33" s="8">
        <f>'Model inputs'!AB81*'Model inputs'!AI73</f>
        <v>2968.5907065868378</v>
      </c>
      <c r="AC33" s="8">
        <f>'Model inputs'!AC81*'Model inputs'!AI73</f>
        <v>2968.5907065868378</v>
      </c>
      <c r="AD33" s="8">
        <f>'Model inputs'!AD81*'Model inputs'!AI73</f>
        <v>2968.5907065868378</v>
      </c>
      <c r="AE33" s="8">
        <f>'Model inputs'!AE81*'Model inputs'!AI73</f>
        <v>2968.5907065868378</v>
      </c>
      <c r="AF33" s="8">
        <f>'Model inputs'!AF81*'Model inputs'!AI73</f>
        <v>2968.5907065868378</v>
      </c>
      <c r="AG33" s="8">
        <f>'Model inputs'!AG81*'Model inputs'!AI73</f>
        <v>2968.5907065868378</v>
      </c>
      <c r="AH33" s="8">
        <f>'Model inputs'!AH81*'Model inputs'!AI73</f>
        <v>2968.5907065868378</v>
      </c>
    </row>
    <row r="34">
      <c r="A34" t="inlineStr" s="11">
        <is>
          <t xml:space="preserve">Cash collected from customers · Main Scenario</t>
        </is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f>'Model inputs'!J30*(1-'Model inputs'!AI122)</f>
        <v>0</v>
      </c>
      <c r="L34" s="8">
        <f>'Model inputs'!K30*(1-'Model inputs'!AI122)</f>
        <v>0</v>
      </c>
      <c r="M34" s="8">
        <f>'Model inputs'!L30*(1-'Model inputs'!AI122)</f>
        <v>247.35000000000002</v>
      </c>
      <c r="N34" s="8">
        <f>'Model inputs'!M30*(1-'Model inputs'!AI122)</f>
        <v>247.35000000000002</v>
      </c>
      <c r="O34" s="8">
        <f>'Model inputs'!N30*(1-'Model inputs'!AI122)</f>
        <v>247.35000000000002</v>
      </c>
      <c r="P34" s="8">
        <f>'Model inputs'!O30*(1-'Model inputs'!AI122)</f>
        <v>247.35000000000002</v>
      </c>
      <c r="Q34" s="8">
        <f>'Model inputs'!P30*(1-'Model inputs'!AI122)</f>
        <v>247.35000000000002</v>
      </c>
      <c r="R34" s="8">
        <f>'Model inputs'!Q30*(1-'Model inputs'!AI122)</f>
        <v>247.35000000000002</v>
      </c>
      <c r="S34" s="8">
        <f>'Model inputs'!R30*(1-'Model inputs'!AI122)</f>
        <v>247.35000000000002</v>
      </c>
      <c r="T34" s="8">
        <f>'Model inputs'!S30*(1-'Model inputs'!AI122)</f>
        <v>247.35000000000002</v>
      </c>
      <c r="U34" s="8">
        <f>'Model inputs'!T30*(1-'Model inputs'!AI122)</f>
        <v>247.35000000000002</v>
      </c>
      <c r="V34" s="8">
        <f>'Model inputs'!U30*(1-'Model inputs'!AI122)</f>
        <v>247.35000000000002</v>
      </c>
      <c r="W34" s="8">
        <f>'Model inputs'!V30*(1-'Model inputs'!AI122)</f>
        <v>247.35000000000002</v>
      </c>
      <c r="X34" s="8">
        <f>'Model inputs'!W30*(1-'Model inputs'!AI122)</f>
        <v>247.35000000000002</v>
      </c>
      <c r="Y34" s="8">
        <f>'Model inputs'!X30*(1-'Model inputs'!AI122)</f>
        <v>247.35000000000002</v>
      </c>
      <c r="Z34" s="8">
        <f>'Model inputs'!Y30*(1-'Model inputs'!AI122)</f>
        <v>247.35000000000002</v>
      </c>
      <c r="AA34" s="8">
        <f>'Model inputs'!Z30*(1-'Model inputs'!AI122)</f>
        <v>247.35000000000002</v>
      </c>
      <c r="AB34" s="8">
        <f>'Model inputs'!AA30*(1-'Model inputs'!AI122)</f>
        <v>247.35000000000002</v>
      </c>
      <c r="AC34" s="8">
        <f>'Model inputs'!AB30*(1-'Model inputs'!AI122)</f>
        <v>247.35000000000002</v>
      </c>
      <c r="AD34" s="8">
        <f>'Model inputs'!AC30*(1-'Model inputs'!AI122)</f>
        <v>247.35000000000002</v>
      </c>
      <c r="AE34" s="8">
        <f>'Model inputs'!AD30*(1-'Model inputs'!AI122)</f>
        <v>247.35000000000002</v>
      </c>
      <c r="AF34" s="8">
        <f>'Model inputs'!AE30*(1-'Model inputs'!AI122)</f>
        <v>247.35000000000002</v>
      </c>
      <c r="AG34" s="8">
        <f>'Model inputs'!AF30*(1-'Model inputs'!AI122)</f>
        <v>247.35000000000002</v>
      </c>
      <c r="AH34" s="8">
        <f>'Model inputs'!AG30*(1-'Model inputs'!AI122)</f>
        <v>247.35000000000002</v>
      </c>
    </row>
    <row r="35">
      <c r="A35" t="inlineStr" s="11">
        <is>
          <t xml:space="preserve">Cash collected from customers · Growth · $0.60</t>
        </is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f>'Model inputs'!J31*(1-'Model inputs'!AI123)</f>
        <v>0</v>
      </c>
      <c r="L35" s="8">
        <f>'Model inputs'!K31*(1-'Model inputs'!AI123)</f>
        <v>0</v>
      </c>
      <c r="M35" s="8">
        <f>'Model inputs'!L31*(1-'Model inputs'!AI123)</f>
        <v>371.025</v>
      </c>
      <c r="N35" s="8">
        <f>'Model inputs'!M31*(1-'Model inputs'!AI123)</f>
        <v>463.78125</v>
      </c>
      <c r="O35" s="8">
        <f>'Model inputs'!N31*(1-'Model inputs'!AI123)</f>
        <v>579.7265625</v>
      </c>
      <c r="P35" s="8">
        <f>'Model inputs'!O31*(1-'Model inputs'!AI123)</f>
        <v>724.658203125</v>
      </c>
      <c r="Q35" s="8">
        <f>'Model inputs'!P31*(1-'Model inputs'!AI123)</f>
        <v>905.82275390625</v>
      </c>
      <c r="R35" s="8">
        <f>'Model inputs'!Q31*(1-'Model inputs'!AI123)</f>
        <v>1132.2784423828125</v>
      </c>
      <c r="S35" s="8">
        <f>'Model inputs'!R31*(1-'Model inputs'!AI123)</f>
        <v>1415.3480529785156</v>
      </c>
      <c r="T35" s="8">
        <f>'Model inputs'!S31*(1-'Model inputs'!AI123)</f>
        <v>1769.1850662231445</v>
      </c>
      <c r="U35" s="8">
        <f>'Model inputs'!T31*(1-'Model inputs'!AI123)</f>
        <v>2211.4813327789307</v>
      </c>
      <c r="V35" s="8">
        <f>'Model inputs'!U31*(1-'Model inputs'!AI123)</f>
        <v>2764.3516659736633</v>
      </c>
      <c r="W35" s="8">
        <f>'Model inputs'!V31*(1-'Model inputs'!AI123)</f>
        <v>3455.439582467079</v>
      </c>
      <c r="X35" s="8">
        <f>'Model inputs'!W31*(1-'Model inputs'!AI123)</f>
        <v>4319.299478083849</v>
      </c>
      <c r="Y35" s="8">
        <f>'Model inputs'!X31*(1-'Model inputs'!AI123)</f>
        <v>4319.299478083849</v>
      </c>
      <c r="Z35" s="8">
        <f>'Model inputs'!Y31*(1-'Model inputs'!AI123)</f>
        <v>4319.299478083849</v>
      </c>
      <c r="AA35" s="8">
        <f>'Model inputs'!Z31*(1-'Model inputs'!AI123)</f>
        <v>4319.299478083849</v>
      </c>
      <c r="AB35" s="8">
        <f>'Model inputs'!AA31*(1-'Model inputs'!AI123)</f>
        <v>4319.299478083849</v>
      </c>
      <c r="AC35" s="8">
        <f>'Model inputs'!AB31*(1-'Model inputs'!AI123)</f>
        <v>4319.299478083849</v>
      </c>
      <c r="AD35" s="8">
        <f>'Model inputs'!AC31*(1-'Model inputs'!AI123)</f>
        <v>4319.299478083849</v>
      </c>
      <c r="AE35" s="8">
        <f>'Model inputs'!AD31*(1-'Model inputs'!AI123)</f>
        <v>4319.299478083849</v>
      </c>
      <c r="AF35" s="8">
        <f>'Model inputs'!AE31*(1-'Model inputs'!AI123)</f>
        <v>4319.299478083849</v>
      </c>
      <c r="AG35" s="8">
        <f>'Model inputs'!AF31*(1-'Model inputs'!AI123)</f>
        <v>4319.299478083849</v>
      </c>
      <c r="AH35" s="8">
        <f>'Model inputs'!AG31*(1-'Model inputs'!AI123)</f>
        <v>4319.299478083849</v>
      </c>
    </row>
    <row r="36">
      <c r="A36" t="inlineStr" s="11">
        <is>
          <t xml:space="preserve">Cash collected from customers · Base · $0.60</t>
        </is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f>'Model inputs'!J32*(1-'Model inputs'!AI124)</f>
        <v>0</v>
      </c>
      <c r="L36" s="8">
        <f>'Model inputs'!K32*(1-'Model inputs'!AI124)</f>
        <v>0</v>
      </c>
      <c r="M36" s="8">
        <f>'Model inputs'!L32*(1-'Model inputs'!AI124)</f>
        <v>371.025</v>
      </c>
      <c r="N36" s="8">
        <f>'Model inputs'!M32*(1-'Model inputs'!AI124)</f>
        <v>371.025</v>
      </c>
      <c r="O36" s="8">
        <f>'Model inputs'!N32*(1-'Model inputs'!AI124)</f>
        <v>371.025</v>
      </c>
      <c r="P36" s="8">
        <f>'Model inputs'!O32*(1-'Model inputs'!AI124)</f>
        <v>371.025</v>
      </c>
      <c r="Q36" s="8">
        <f>'Model inputs'!P32*(1-'Model inputs'!AI124)</f>
        <v>371.025</v>
      </c>
      <c r="R36" s="8">
        <f>'Model inputs'!Q32*(1-'Model inputs'!AI124)</f>
        <v>371.025</v>
      </c>
      <c r="S36" s="8">
        <f>'Model inputs'!R32*(1-'Model inputs'!AI124)</f>
        <v>371.025</v>
      </c>
      <c r="T36" s="8">
        <f>'Model inputs'!S32*(1-'Model inputs'!AI124)</f>
        <v>371.025</v>
      </c>
      <c r="U36" s="8">
        <f>'Model inputs'!T32*(1-'Model inputs'!AI124)</f>
        <v>371.025</v>
      </c>
      <c r="V36" s="8">
        <f>'Model inputs'!U32*(1-'Model inputs'!AI124)</f>
        <v>371.025</v>
      </c>
      <c r="W36" s="8">
        <f>'Model inputs'!V32*(1-'Model inputs'!AI124)</f>
        <v>371.025</v>
      </c>
      <c r="X36" s="8">
        <f>'Model inputs'!W32*(1-'Model inputs'!AI124)</f>
        <v>371.025</v>
      </c>
      <c r="Y36" s="8">
        <f>'Model inputs'!X32*(1-'Model inputs'!AI124)</f>
        <v>371.025</v>
      </c>
      <c r="Z36" s="8">
        <f>'Model inputs'!Y32*(1-'Model inputs'!AI124)</f>
        <v>371.025</v>
      </c>
      <c r="AA36" s="8">
        <f>'Model inputs'!Z32*(1-'Model inputs'!AI124)</f>
        <v>371.025</v>
      </c>
      <c r="AB36" s="8">
        <f>'Model inputs'!AA32*(1-'Model inputs'!AI124)</f>
        <v>371.025</v>
      </c>
      <c r="AC36" s="8">
        <f>'Model inputs'!AB32*(1-'Model inputs'!AI124)</f>
        <v>371.025</v>
      </c>
      <c r="AD36" s="8">
        <f>'Model inputs'!AC32*(1-'Model inputs'!AI124)</f>
        <v>371.025</v>
      </c>
      <c r="AE36" s="8">
        <f>'Model inputs'!AD32*(1-'Model inputs'!AI124)</f>
        <v>371.025</v>
      </c>
      <c r="AF36" s="8">
        <f>'Model inputs'!AE32*(1-'Model inputs'!AI124)</f>
        <v>371.025</v>
      </c>
      <c r="AG36" s="8">
        <f>'Model inputs'!AF32*(1-'Model inputs'!AI124)</f>
        <v>371.025</v>
      </c>
      <c r="AH36" s="8">
        <f>'Model inputs'!AG32*(1-'Model inputs'!AI124)</f>
        <v>371.025</v>
      </c>
    </row>
    <row r="37">
      <c r="A37" t="inlineStr" s="11">
        <is>
          <t xml:space="preserve">Cash collected from customers · Growth · $0.34</t>
        </is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f>'Model inputs'!J33*(1-'Model inputs'!AI125)</f>
        <v>0</v>
      </c>
      <c r="L37" s="8">
        <f>'Model inputs'!K33*(1-'Model inputs'!AI125)</f>
        <v>0</v>
      </c>
      <c r="M37" s="8">
        <f>'Model inputs'!L33*(1-'Model inputs'!AI125)</f>
        <v>247.35000000000002</v>
      </c>
      <c r="N37" s="8">
        <f>'Model inputs'!M33*(1-'Model inputs'!AI125)</f>
        <v>309.1875</v>
      </c>
      <c r="O37" s="8">
        <f>'Model inputs'!N33*(1-'Model inputs'!AI125)</f>
        <v>386.48437500000006</v>
      </c>
      <c r="P37" s="8">
        <f>'Model inputs'!O33*(1-'Model inputs'!AI125)</f>
        <v>483.10546875000006</v>
      </c>
      <c r="Q37" s="8">
        <f>'Model inputs'!P33*(1-'Model inputs'!AI125)</f>
        <v>603.8818359375</v>
      </c>
      <c r="R37" s="8">
        <f>'Model inputs'!Q33*(1-'Model inputs'!AI125)</f>
        <v>754.852294921875</v>
      </c>
      <c r="S37" s="8">
        <f>'Model inputs'!R33*(1-'Model inputs'!AI125)</f>
        <v>943.5653686523439</v>
      </c>
      <c r="T37" s="8">
        <f>'Model inputs'!S33*(1-'Model inputs'!AI125)</f>
        <v>1179.4567108154297</v>
      </c>
      <c r="U37" s="8">
        <f>'Model inputs'!T33*(1-'Model inputs'!AI125)</f>
        <v>1474.320888519287</v>
      </c>
      <c r="V37" s="8">
        <f>'Model inputs'!U33*(1-'Model inputs'!AI125)</f>
        <v>1842.9011106491091</v>
      </c>
      <c r="W37" s="8">
        <f>'Model inputs'!V33*(1-'Model inputs'!AI125)</f>
        <v>2303.626388311386</v>
      </c>
      <c r="X37" s="8">
        <f>'Model inputs'!W33*(1-'Model inputs'!AI125)</f>
        <v>2879.5329853892326</v>
      </c>
      <c r="Y37" s="8">
        <f>'Model inputs'!X33*(1-'Model inputs'!AI125)</f>
        <v>2879.5329853892326</v>
      </c>
      <c r="Z37" s="8">
        <f>'Model inputs'!Y33*(1-'Model inputs'!AI125)</f>
        <v>2879.5329853892326</v>
      </c>
      <c r="AA37" s="8">
        <f>'Model inputs'!Z33*(1-'Model inputs'!AI125)</f>
        <v>2879.5329853892326</v>
      </c>
      <c r="AB37" s="8">
        <f>'Model inputs'!AA33*(1-'Model inputs'!AI125)</f>
        <v>2879.5329853892326</v>
      </c>
      <c r="AC37" s="8">
        <f>'Model inputs'!AB33*(1-'Model inputs'!AI125)</f>
        <v>2879.5329853892326</v>
      </c>
      <c r="AD37" s="8">
        <f>'Model inputs'!AC33*(1-'Model inputs'!AI125)</f>
        <v>2879.5329853892326</v>
      </c>
      <c r="AE37" s="8">
        <f>'Model inputs'!AD33*(1-'Model inputs'!AI125)</f>
        <v>2879.5329853892326</v>
      </c>
      <c r="AF37" s="8">
        <f>'Model inputs'!AE33*(1-'Model inputs'!AI125)</f>
        <v>2879.5329853892326</v>
      </c>
      <c r="AG37" s="8">
        <f>'Model inputs'!AF33*(1-'Model inputs'!AI125)</f>
        <v>2879.5329853892326</v>
      </c>
      <c r="AH37" s="8">
        <f>'Model inputs'!AG33*(1-'Model inputs'!AI125)</f>
        <v>2879.5329853892326</v>
      </c>
    </row>
    <row r="38">
      <c r="A38" t="inlineStr" s="11">
        <is>
          <t xml:space="preserve">Cost of revenue · Main Scenario</t>
        </is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f>'Model inputs'!K54+'Model inputs'!K118</f>
        <v>0</v>
      </c>
      <c r="L38" s="8">
        <f>'Model inputs'!L54+'Model inputs'!L118</f>
        <v>105.15</v>
      </c>
      <c r="M38" s="8">
        <f>'Model inputs'!M54+'Model inputs'!M118</f>
        <v>105.15</v>
      </c>
      <c r="N38" s="8">
        <f>'Model inputs'!N54+'Model inputs'!N118</f>
        <v>105.15</v>
      </c>
      <c r="O38" s="8">
        <f>'Model inputs'!O54+'Model inputs'!O118</f>
        <v>105.15</v>
      </c>
      <c r="P38" s="8">
        <f>'Model inputs'!P54+'Model inputs'!P118</f>
        <v>105.15</v>
      </c>
      <c r="Q38" s="8">
        <f>'Model inputs'!Q54+'Model inputs'!Q118</f>
        <v>105.15</v>
      </c>
      <c r="R38" s="8">
        <f>'Model inputs'!R54+'Model inputs'!R118</f>
        <v>105.15</v>
      </c>
      <c r="S38" s="8">
        <f>'Model inputs'!S54+'Model inputs'!S118</f>
        <v>105.15</v>
      </c>
      <c r="T38" s="8">
        <f>'Model inputs'!T54+'Model inputs'!T118</f>
        <v>105.15</v>
      </c>
      <c r="U38" s="8">
        <f>'Model inputs'!U54+'Model inputs'!U118</f>
        <v>105.15</v>
      </c>
      <c r="V38" s="8">
        <f>'Model inputs'!V54+'Model inputs'!V118</f>
        <v>105.15</v>
      </c>
      <c r="W38" s="8">
        <f>'Model inputs'!W54+'Model inputs'!W118</f>
        <v>105.15</v>
      </c>
      <c r="X38" s="8">
        <f>'Model inputs'!X54+'Model inputs'!X118</f>
        <v>105.15</v>
      </c>
      <c r="Y38" s="8">
        <f>'Model inputs'!Y54+'Model inputs'!Y118</f>
        <v>105.15</v>
      </c>
      <c r="Z38" s="8">
        <f>'Model inputs'!Z54+'Model inputs'!Z118</f>
        <v>105.15</v>
      </c>
      <c r="AA38" s="8">
        <f>'Model inputs'!AA54+'Model inputs'!AA118</f>
        <v>105.15</v>
      </c>
      <c r="AB38" s="8">
        <f>'Model inputs'!AB54+'Model inputs'!AB118</f>
        <v>105.15</v>
      </c>
      <c r="AC38" s="8">
        <f>'Model inputs'!AC54+'Model inputs'!AC118</f>
        <v>105.15</v>
      </c>
      <c r="AD38" s="8">
        <f>'Model inputs'!AD54+'Model inputs'!AD118</f>
        <v>105.15</v>
      </c>
      <c r="AE38" s="8">
        <f>'Model inputs'!AE54+'Model inputs'!AE118</f>
        <v>105.15</v>
      </c>
      <c r="AF38" s="8">
        <f>'Model inputs'!AF54+'Model inputs'!AF118</f>
        <v>105.15</v>
      </c>
      <c r="AG38" s="8">
        <f>'Model inputs'!AG54+'Model inputs'!AG118</f>
        <v>105.15</v>
      </c>
      <c r="AH38" s="8">
        <f>'Model inputs'!AH54+'Model inputs'!AH118</f>
        <v>105.15</v>
      </c>
    </row>
    <row r="39">
      <c r="A39" t="inlineStr" s="11">
        <is>
          <t xml:space="preserve">Cost of revenue · Growth · $0.60</t>
        </is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f>'Model inputs'!K55+'Model inputs'!K119</f>
        <v>0</v>
      </c>
      <c r="L39" s="8">
        <f>'Model inputs'!L55+'Model inputs'!L119</f>
        <v>94.35</v>
      </c>
      <c r="M39" s="8">
        <f>'Model inputs'!M55+'Model inputs'!M119</f>
        <v>117.9375</v>
      </c>
      <c r="N39" s="8">
        <f>'Model inputs'!N55+'Model inputs'!N119</f>
        <v>147.421875</v>
      </c>
      <c r="O39" s="8">
        <f>'Model inputs'!O55+'Model inputs'!O119</f>
        <v>184.27734375</v>
      </c>
      <c r="P39" s="8">
        <f>'Model inputs'!P55+'Model inputs'!P119</f>
        <v>230.3466796875</v>
      </c>
      <c r="Q39" s="8">
        <f>'Model inputs'!Q55+'Model inputs'!Q119</f>
        <v>287.933349609375</v>
      </c>
      <c r="R39" s="8">
        <f>'Model inputs'!R55+'Model inputs'!R119</f>
        <v>359.91668701171875</v>
      </c>
      <c r="S39" s="8">
        <f>'Model inputs'!S55+'Model inputs'!S119</f>
        <v>449.89585876464844</v>
      </c>
      <c r="T39" s="8">
        <f>'Model inputs'!T55+'Model inputs'!T119</f>
        <v>562.3698234558105</v>
      </c>
      <c r="U39" s="8">
        <f>'Model inputs'!U55+'Model inputs'!U119</f>
        <v>702.9622793197632</v>
      </c>
      <c r="V39" s="8">
        <f>'Model inputs'!V55+'Model inputs'!V119</f>
        <v>878.702849149704</v>
      </c>
      <c r="W39" s="8">
        <f>'Model inputs'!W55+'Model inputs'!W119</f>
        <v>1098.37856143713</v>
      </c>
      <c r="X39" s="8">
        <f>'Model inputs'!X55+'Model inputs'!X119</f>
        <v>1098.37856143713</v>
      </c>
      <c r="Y39" s="8">
        <f>'Model inputs'!Y55+'Model inputs'!Y119</f>
        <v>1098.37856143713</v>
      </c>
      <c r="Z39" s="8">
        <f>'Model inputs'!Z55+'Model inputs'!Z119</f>
        <v>1098.37856143713</v>
      </c>
      <c r="AA39" s="8">
        <f>'Model inputs'!AA55+'Model inputs'!AA119</f>
        <v>1098.37856143713</v>
      </c>
      <c r="AB39" s="8">
        <f>'Model inputs'!AB55+'Model inputs'!AB119</f>
        <v>1098.37856143713</v>
      </c>
      <c r="AC39" s="8">
        <f>'Model inputs'!AC55+'Model inputs'!AC119</f>
        <v>1098.37856143713</v>
      </c>
      <c r="AD39" s="8">
        <f>'Model inputs'!AD55+'Model inputs'!AD119</f>
        <v>1098.37856143713</v>
      </c>
      <c r="AE39" s="8">
        <f>'Model inputs'!AE55+'Model inputs'!AE119</f>
        <v>1098.37856143713</v>
      </c>
      <c r="AF39" s="8">
        <f>'Model inputs'!AF55+'Model inputs'!AF119</f>
        <v>1098.37856143713</v>
      </c>
      <c r="AG39" s="8">
        <f>'Model inputs'!AG55+'Model inputs'!AG119</f>
        <v>1098.37856143713</v>
      </c>
      <c r="AH39" s="8">
        <f>'Model inputs'!AH55+'Model inputs'!AH119</f>
        <v>1098.37856143713</v>
      </c>
    </row>
    <row r="40">
      <c r="A40" t="inlineStr" s="11">
        <is>
          <t xml:space="preserve">Cost of revenue · Base · $0.60</t>
        </is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f>'Model inputs'!K56+'Model inputs'!K120</f>
        <v>0</v>
      </c>
      <c r="L40" s="8">
        <f>'Model inputs'!L56+'Model inputs'!L120</f>
        <v>94.35</v>
      </c>
      <c r="M40" s="8">
        <f>'Model inputs'!M56+'Model inputs'!M120</f>
        <v>94.35</v>
      </c>
      <c r="N40" s="8">
        <f>'Model inputs'!N56+'Model inputs'!N120</f>
        <v>94.35</v>
      </c>
      <c r="O40" s="8">
        <f>'Model inputs'!O56+'Model inputs'!O120</f>
        <v>94.35</v>
      </c>
      <c r="P40" s="8">
        <f>'Model inputs'!P56+'Model inputs'!P120</f>
        <v>94.35</v>
      </c>
      <c r="Q40" s="8">
        <f>'Model inputs'!Q56+'Model inputs'!Q120</f>
        <v>94.35</v>
      </c>
      <c r="R40" s="8">
        <f>'Model inputs'!R56+'Model inputs'!R120</f>
        <v>94.35</v>
      </c>
      <c r="S40" s="8">
        <f>'Model inputs'!S56+'Model inputs'!S120</f>
        <v>94.35</v>
      </c>
      <c r="T40" s="8">
        <f>'Model inputs'!T56+'Model inputs'!T120</f>
        <v>94.35</v>
      </c>
      <c r="U40" s="8">
        <f>'Model inputs'!U56+'Model inputs'!U120</f>
        <v>94.35</v>
      </c>
      <c r="V40" s="8">
        <f>'Model inputs'!V56+'Model inputs'!V120</f>
        <v>94.35</v>
      </c>
      <c r="W40" s="8">
        <f>'Model inputs'!W56+'Model inputs'!W120</f>
        <v>94.35</v>
      </c>
      <c r="X40" s="8">
        <f>'Model inputs'!X56+'Model inputs'!X120</f>
        <v>94.35</v>
      </c>
      <c r="Y40" s="8">
        <f>'Model inputs'!Y56+'Model inputs'!Y120</f>
        <v>94.35</v>
      </c>
      <c r="Z40" s="8">
        <f>'Model inputs'!Z56+'Model inputs'!Z120</f>
        <v>94.35</v>
      </c>
      <c r="AA40" s="8">
        <f>'Model inputs'!AA56+'Model inputs'!AA120</f>
        <v>94.35</v>
      </c>
      <c r="AB40" s="8">
        <f>'Model inputs'!AB56+'Model inputs'!AB120</f>
        <v>94.35</v>
      </c>
      <c r="AC40" s="8">
        <f>'Model inputs'!AC56+'Model inputs'!AC120</f>
        <v>94.35</v>
      </c>
      <c r="AD40" s="8">
        <f>'Model inputs'!AD56+'Model inputs'!AD120</f>
        <v>94.35</v>
      </c>
      <c r="AE40" s="8">
        <f>'Model inputs'!AE56+'Model inputs'!AE120</f>
        <v>94.35</v>
      </c>
      <c r="AF40" s="8">
        <f>'Model inputs'!AF56+'Model inputs'!AF120</f>
        <v>94.35</v>
      </c>
      <c r="AG40" s="8">
        <f>'Model inputs'!AG56+'Model inputs'!AG120</f>
        <v>94.35</v>
      </c>
      <c r="AH40" s="8">
        <f>'Model inputs'!AH56+'Model inputs'!AH120</f>
        <v>94.35</v>
      </c>
    </row>
    <row r="41">
      <c r="A41" t="inlineStr" s="11">
        <is>
          <t xml:space="preserve">Cost of revenue · Growth · $0.34</t>
        </is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f>'Model inputs'!K57+'Model inputs'!K121</f>
        <v>0</v>
      </c>
      <c r="L41" s="8">
        <f>'Model inputs'!L57+'Model inputs'!L121</f>
        <v>105.15</v>
      </c>
      <c r="M41" s="8">
        <f>'Model inputs'!M57+'Model inputs'!M121</f>
        <v>131.4375</v>
      </c>
      <c r="N41" s="8">
        <f>'Model inputs'!N57+'Model inputs'!N121</f>
        <v>164.296875</v>
      </c>
      <c r="O41" s="8">
        <f>'Model inputs'!O57+'Model inputs'!O121</f>
        <v>205.37109375</v>
      </c>
      <c r="P41" s="8">
        <f>'Model inputs'!P57+'Model inputs'!P121</f>
        <v>256.7138671875</v>
      </c>
      <c r="Q41" s="8">
        <f>'Model inputs'!Q57+'Model inputs'!Q121</f>
        <v>320.892333984375</v>
      </c>
      <c r="R41" s="8">
        <f>'Model inputs'!R57+'Model inputs'!R121</f>
        <v>401.11541748046875</v>
      </c>
      <c r="S41" s="8">
        <f>'Model inputs'!S57+'Model inputs'!S121</f>
        <v>501.39427185058594</v>
      </c>
      <c r="T41" s="8">
        <f>'Model inputs'!T57+'Model inputs'!T121</f>
        <v>626.7428398132324</v>
      </c>
      <c r="U41" s="8">
        <f>'Model inputs'!U57+'Model inputs'!U121</f>
        <v>783.4285497665405</v>
      </c>
      <c r="V41" s="8">
        <f>'Model inputs'!V57+'Model inputs'!V121</f>
        <v>979.2856872081757</v>
      </c>
      <c r="W41" s="8">
        <f>'Model inputs'!W57+'Model inputs'!W121</f>
        <v>1224.1071090102196</v>
      </c>
      <c r="X41" s="8">
        <f>'Model inputs'!X57+'Model inputs'!X121</f>
        <v>1224.1071090102196</v>
      </c>
      <c r="Y41" s="8">
        <f>'Model inputs'!Y57+'Model inputs'!Y121</f>
        <v>1224.1071090102196</v>
      </c>
      <c r="Z41" s="8">
        <f>'Model inputs'!Z57+'Model inputs'!Z121</f>
        <v>1224.1071090102196</v>
      </c>
      <c r="AA41" s="8">
        <f>'Model inputs'!AA57+'Model inputs'!AA121</f>
        <v>1224.1071090102196</v>
      </c>
      <c r="AB41" s="8">
        <f>'Model inputs'!AB57+'Model inputs'!AB121</f>
        <v>1224.1071090102196</v>
      </c>
      <c r="AC41" s="8">
        <f>'Model inputs'!AC57+'Model inputs'!AC121</f>
        <v>1224.1071090102196</v>
      </c>
      <c r="AD41" s="8">
        <f>'Model inputs'!AD57+'Model inputs'!AD121</f>
        <v>1224.1071090102196</v>
      </c>
      <c r="AE41" s="8">
        <f>'Model inputs'!AE57+'Model inputs'!AE121</f>
        <v>1224.1071090102196</v>
      </c>
      <c r="AF41" s="8">
        <f>'Model inputs'!AF57+'Model inputs'!AF121</f>
        <v>1224.1071090102196</v>
      </c>
      <c r="AG41" s="8">
        <f>'Model inputs'!AG57+'Model inputs'!AG121</f>
        <v>1224.1071090102196</v>
      </c>
      <c r="AH41" s="8">
        <f>'Model inputs'!AH57+'Model inputs'!AH121</f>
        <v>1224.1071090102196</v>
      </c>
    </row>
    <row r="42">
      <c r="A42" t="inlineStr" s="11">
        <is>
          <t xml:space="preserve">Fixed costs · Main Scenario</t>
        </is>
      </c>
      <c r="B42" s="8">
        <f>SUM('Model inputs'!B91,'Model inputs'!B92,'Model inputs'!B93,'Model inputs'!B94)</f>
        <v>0</v>
      </c>
      <c r="C42" s="8">
        <f>SUM('Model inputs'!C91,'Model inputs'!C92,'Model inputs'!C93,'Model inputs'!C94)</f>
        <v>0</v>
      </c>
      <c r="D42" s="8">
        <f>SUM('Model inputs'!D91,'Model inputs'!D92,'Model inputs'!D93,'Model inputs'!D94)</f>
        <v>0</v>
      </c>
      <c r="E42" s="8">
        <f>SUM('Model inputs'!E91,'Model inputs'!E92,'Model inputs'!E93,'Model inputs'!E94)</f>
        <v>0</v>
      </c>
      <c r="F42" s="8">
        <f>SUM('Model inputs'!F91,'Model inputs'!F92,'Model inputs'!F93,'Model inputs'!F94)</f>
        <v>0</v>
      </c>
      <c r="G42" s="8">
        <f>SUM('Model inputs'!G91,'Model inputs'!G92,'Model inputs'!G93,'Model inputs'!G94)</f>
        <v>0</v>
      </c>
      <c r="H42" s="8">
        <f>SUM('Model inputs'!H91,'Model inputs'!H92,'Model inputs'!H93,'Model inputs'!H94)</f>
        <v>0</v>
      </c>
      <c r="I42" s="8">
        <f>SUM('Model inputs'!I91,'Model inputs'!I92,'Model inputs'!I93,'Model inputs'!I94)</f>
        <v>0</v>
      </c>
      <c r="J42" s="8">
        <f>SUM('Model inputs'!J91,'Model inputs'!J92,'Model inputs'!J93,'Model inputs'!J94)</f>
        <v>0</v>
      </c>
      <c r="K42" s="8">
        <f>SUM('Model inputs'!K91,'Model inputs'!K92,'Model inputs'!K93,'Model inputs'!K94)</f>
        <v>170</v>
      </c>
      <c r="L42" s="8">
        <f>SUM('Model inputs'!L91,'Model inputs'!L92,'Model inputs'!L93,'Model inputs'!L94)</f>
        <v>170</v>
      </c>
      <c r="M42" s="8">
        <f>SUM('Model inputs'!M91,'Model inputs'!M92,'Model inputs'!M93,'Model inputs'!M94)</f>
        <v>170</v>
      </c>
      <c r="N42" s="8">
        <f>SUM('Model inputs'!N91,'Model inputs'!N92,'Model inputs'!N93,'Model inputs'!N94)</f>
        <v>170</v>
      </c>
      <c r="O42" s="8">
        <f>SUM('Model inputs'!O91,'Model inputs'!O92,'Model inputs'!O93,'Model inputs'!O94)</f>
        <v>170</v>
      </c>
      <c r="P42" s="8">
        <f>SUM('Model inputs'!P91,'Model inputs'!P92,'Model inputs'!P93,'Model inputs'!P94)</f>
        <v>170</v>
      </c>
      <c r="Q42" s="8">
        <f>SUM('Model inputs'!Q91,'Model inputs'!Q92,'Model inputs'!Q93,'Model inputs'!Q94)</f>
        <v>170</v>
      </c>
      <c r="R42" s="8">
        <f>SUM('Model inputs'!R91,'Model inputs'!R92,'Model inputs'!R93,'Model inputs'!R94)</f>
        <v>170</v>
      </c>
      <c r="S42" s="8">
        <f>SUM('Model inputs'!S91,'Model inputs'!S92,'Model inputs'!S93,'Model inputs'!S94)</f>
        <v>170</v>
      </c>
      <c r="T42" s="8">
        <f>SUM('Model inputs'!T91,'Model inputs'!T92,'Model inputs'!T93,'Model inputs'!T94)</f>
        <v>170</v>
      </c>
      <c r="U42" s="8">
        <f>SUM('Model inputs'!U91,'Model inputs'!U92,'Model inputs'!U93,'Model inputs'!U94)</f>
        <v>170</v>
      </c>
      <c r="V42" s="8">
        <f>SUM('Model inputs'!V91,'Model inputs'!V92,'Model inputs'!V93,'Model inputs'!V94)</f>
        <v>170</v>
      </c>
      <c r="W42" s="8">
        <f>SUM('Model inputs'!W91,'Model inputs'!W92,'Model inputs'!W93,'Model inputs'!W94)</f>
        <v>170</v>
      </c>
      <c r="X42" s="8">
        <f>SUM('Model inputs'!X91,'Model inputs'!X92,'Model inputs'!X93,'Model inputs'!X94)</f>
        <v>170</v>
      </c>
      <c r="Y42" s="8">
        <f>SUM('Model inputs'!Y91,'Model inputs'!Y92,'Model inputs'!Y93,'Model inputs'!Y94)</f>
        <v>170</v>
      </c>
      <c r="Z42" s="8">
        <f>SUM('Model inputs'!Z91,'Model inputs'!Z92,'Model inputs'!Z93,'Model inputs'!Z94)</f>
        <v>170</v>
      </c>
      <c r="AA42" s="8">
        <f>SUM('Model inputs'!AA91,'Model inputs'!AA92,'Model inputs'!AA93,'Model inputs'!AA94)</f>
        <v>170</v>
      </c>
      <c r="AB42" s="8">
        <f>SUM('Model inputs'!AB91,'Model inputs'!AB92,'Model inputs'!AB93,'Model inputs'!AB94)</f>
        <v>170</v>
      </c>
      <c r="AC42" s="8">
        <f>SUM('Model inputs'!AC91,'Model inputs'!AC92,'Model inputs'!AC93,'Model inputs'!AC94)</f>
        <v>170</v>
      </c>
      <c r="AD42" s="8">
        <f>SUM('Model inputs'!AD91,'Model inputs'!AD92,'Model inputs'!AD93,'Model inputs'!AD94)</f>
        <v>170</v>
      </c>
      <c r="AE42" s="8">
        <f>SUM('Model inputs'!AE91,'Model inputs'!AE92,'Model inputs'!AE93,'Model inputs'!AE94)</f>
        <v>170</v>
      </c>
      <c r="AF42" s="8">
        <f>SUM('Model inputs'!AF91,'Model inputs'!AF92,'Model inputs'!AF93,'Model inputs'!AF94)</f>
        <v>170</v>
      </c>
      <c r="AG42" s="8">
        <f>SUM('Model inputs'!AG91,'Model inputs'!AG92,'Model inputs'!AG93,'Model inputs'!AG94)</f>
        <v>170</v>
      </c>
      <c r="AH42" s="8">
        <f>SUM('Model inputs'!AH91,'Model inputs'!AH92,'Model inputs'!AH93,'Model inputs'!AH94)</f>
        <v>170</v>
      </c>
    </row>
    <row r="43">
      <c r="A43" t="inlineStr" s="11">
        <is>
          <t xml:space="preserve">Fixed costs · Growth · $0.60</t>
        </is>
      </c>
      <c r="B43" s="8">
        <f>SUM('Model inputs'!B96,'Model inputs'!B97,'Model inputs'!B98,'Model inputs'!B99)</f>
        <v>0</v>
      </c>
      <c r="C43" s="8">
        <f>SUM('Model inputs'!C96,'Model inputs'!C97,'Model inputs'!C98,'Model inputs'!C99)</f>
        <v>0</v>
      </c>
      <c r="D43" s="8">
        <f>SUM('Model inputs'!D96,'Model inputs'!D97,'Model inputs'!D98,'Model inputs'!D99)</f>
        <v>0</v>
      </c>
      <c r="E43" s="8">
        <f>SUM('Model inputs'!E96,'Model inputs'!E97,'Model inputs'!E98,'Model inputs'!E99)</f>
        <v>0</v>
      </c>
      <c r="F43" s="8">
        <f>SUM('Model inputs'!F96,'Model inputs'!F97,'Model inputs'!F98,'Model inputs'!F99)</f>
        <v>0</v>
      </c>
      <c r="G43" s="8">
        <f>SUM('Model inputs'!G96,'Model inputs'!G97,'Model inputs'!G98,'Model inputs'!G99)</f>
        <v>0</v>
      </c>
      <c r="H43" s="8">
        <f>SUM('Model inputs'!H96,'Model inputs'!H97,'Model inputs'!H98,'Model inputs'!H99)</f>
        <v>0</v>
      </c>
      <c r="I43" s="8">
        <f>SUM('Model inputs'!I96,'Model inputs'!I97,'Model inputs'!I98,'Model inputs'!I99)</f>
        <v>0</v>
      </c>
      <c r="J43" s="8">
        <f>SUM('Model inputs'!J96,'Model inputs'!J97,'Model inputs'!J98,'Model inputs'!J99)</f>
        <v>0</v>
      </c>
      <c r="K43" s="8">
        <f>SUM('Model inputs'!K96,'Model inputs'!K97,'Model inputs'!K98,'Model inputs'!K99)</f>
        <v>170</v>
      </c>
      <c r="L43" s="8">
        <f>SUM('Model inputs'!L96,'Model inputs'!L97,'Model inputs'!L98,'Model inputs'!L99)</f>
        <v>170</v>
      </c>
      <c r="M43" s="8">
        <f>SUM('Model inputs'!M96,'Model inputs'!M97,'Model inputs'!M98,'Model inputs'!M99)</f>
        <v>170</v>
      </c>
      <c r="N43" s="8">
        <f>SUM('Model inputs'!N96,'Model inputs'!N97,'Model inputs'!N98,'Model inputs'!N99)</f>
        <v>170</v>
      </c>
      <c r="O43" s="8">
        <f>SUM('Model inputs'!O96,'Model inputs'!O97,'Model inputs'!O98,'Model inputs'!O99)</f>
        <v>170</v>
      </c>
      <c r="P43" s="8">
        <f>SUM('Model inputs'!P96,'Model inputs'!P97,'Model inputs'!P98,'Model inputs'!P99)</f>
        <v>170</v>
      </c>
      <c r="Q43" s="8">
        <f>SUM('Model inputs'!Q96,'Model inputs'!Q97,'Model inputs'!Q98,'Model inputs'!Q99)</f>
        <v>170</v>
      </c>
      <c r="R43" s="8">
        <f>SUM('Model inputs'!R96,'Model inputs'!R97,'Model inputs'!R98,'Model inputs'!R99)</f>
        <v>170</v>
      </c>
      <c r="S43" s="8">
        <f>SUM('Model inputs'!S96,'Model inputs'!S97,'Model inputs'!S98,'Model inputs'!S99)</f>
        <v>170</v>
      </c>
      <c r="T43" s="8">
        <f>SUM('Model inputs'!T96,'Model inputs'!T97,'Model inputs'!T98,'Model inputs'!T99)</f>
        <v>170</v>
      </c>
      <c r="U43" s="8">
        <f>SUM('Model inputs'!U96,'Model inputs'!U97,'Model inputs'!U98,'Model inputs'!U99)</f>
        <v>170</v>
      </c>
      <c r="V43" s="8">
        <f>SUM('Model inputs'!V96,'Model inputs'!V97,'Model inputs'!V98,'Model inputs'!V99)</f>
        <v>170</v>
      </c>
      <c r="W43" s="8">
        <f>SUM('Model inputs'!W96,'Model inputs'!W97,'Model inputs'!W98,'Model inputs'!W99)</f>
        <v>170</v>
      </c>
      <c r="X43" s="8">
        <f>SUM('Model inputs'!X96,'Model inputs'!X97,'Model inputs'!X98,'Model inputs'!X99)</f>
        <v>170</v>
      </c>
      <c r="Y43" s="8">
        <f>SUM('Model inputs'!Y96,'Model inputs'!Y97,'Model inputs'!Y98,'Model inputs'!Y99)</f>
        <v>170</v>
      </c>
      <c r="Z43" s="8">
        <f>SUM('Model inputs'!Z96,'Model inputs'!Z97,'Model inputs'!Z98,'Model inputs'!Z99)</f>
        <v>170</v>
      </c>
      <c r="AA43" s="8">
        <f>SUM('Model inputs'!AA96,'Model inputs'!AA97,'Model inputs'!AA98,'Model inputs'!AA99)</f>
        <v>170</v>
      </c>
      <c r="AB43" s="8">
        <f>SUM('Model inputs'!AB96,'Model inputs'!AB97,'Model inputs'!AB98,'Model inputs'!AB99)</f>
        <v>170</v>
      </c>
      <c r="AC43" s="8">
        <f>SUM('Model inputs'!AC96,'Model inputs'!AC97,'Model inputs'!AC98,'Model inputs'!AC99)</f>
        <v>170</v>
      </c>
      <c r="AD43" s="8">
        <f>SUM('Model inputs'!AD96,'Model inputs'!AD97,'Model inputs'!AD98,'Model inputs'!AD99)</f>
        <v>170</v>
      </c>
      <c r="AE43" s="8">
        <f>SUM('Model inputs'!AE96,'Model inputs'!AE97,'Model inputs'!AE98,'Model inputs'!AE99)</f>
        <v>170</v>
      </c>
      <c r="AF43" s="8">
        <f>SUM('Model inputs'!AF96,'Model inputs'!AF97,'Model inputs'!AF98,'Model inputs'!AF99)</f>
        <v>170</v>
      </c>
      <c r="AG43" s="8">
        <f>SUM('Model inputs'!AG96,'Model inputs'!AG97,'Model inputs'!AG98,'Model inputs'!AG99)</f>
        <v>170</v>
      </c>
      <c r="AH43" s="8">
        <f>SUM('Model inputs'!AH96,'Model inputs'!AH97,'Model inputs'!AH98,'Model inputs'!AH99)</f>
        <v>170</v>
      </c>
    </row>
    <row r="44">
      <c r="A44" t="inlineStr" s="11">
        <is>
          <t xml:space="preserve">Fixed costs · Base · $0.60</t>
        </is>
      </c>
      <c r="B44" s="8">
        <f>SUM('Model inputs'!B101,'Model inputs'!B102,'Model inputs'!B103,'Model inputs'!B104)</f>
        <v>0</v>
      </c>
      <c r="C44" s="8">
        <f>SUM('Model inputs'!C101,'Model inputs'!C102,'Model inputs'!C103,'Model inputs'!C104)</f>
        <v>0</v>
      </c>
      <c r="D44" s="8">
        <f>SUM('Model inputs'!D101,'Model inputs'!D102,'Model inputs'!D103,'Model inputs'!D104)</f>
        <v>0</v>
      </c>
      <c r="E44" s="8">
        <f>SUM('Model inputs'!E101,'Model inputs'!E102,'Model inputs'!E103,'Model inputs'!E104)</f>
        <v>0</v>
      </c>
      <c r="F44" s="8">
        <f>SUM('Model inputs'!F101,'Model inputs'!F102,'Model inputs'!F103,'Model inputs'!F104)</f>
        <v>0</v>
      </c>
      <c r="G44" s="8">
        <f>SUM('Model inputs'!G101,'Model inputs'!G102,'Model inputs'!G103,'Model inputs'!G104)</f>
        <v>0</v>
      </c>
      <c r="H44" s="8">
        <f>SUM('Model inputs'!H101,'Model inputs'!H102,'Model inputs'!H103,'Model inputs'!H104)</f>
        <v>0</v>
      </c>
      <c r="I44" s="8">
        <f>SUM('Model inputs'!I101,'Model inputs'!I102,'Model inputs'!I103,'Model inputs'!I104)</f>
        <v>0</v>
      </c>
      <c r="J44" s="8">
        <f>SUM('Model inputs'!J101,'Model inputs'!J102,'Model inputs'!J103,'Model inputs'!J104)</f>
        <v>0</v>
      </c>
      <c r="K44" s="8">
        <f>SUM('Model inputs'!K101,'Model inputs'!K102,'Model inputs'!K103,'Model inputs'!K104)</f>
        <v>170</v>
      </c>
      <c r="L44" s="8">
        <f>SUM('Model inputs'!L101,'Model inputs'!L102,'Model inputs'!L103,'Model inputs'!L104)</f>
        <v>170</v>
      </c>
      <c r="M44" s="8">
        <f>SUM('Model inputs'!M101,'Model inputs'!M102,'Model inputs'!M103,'Model inputs'!M104)</f>
        <v>170</v>
      </c>
      <c r="N44" s="8">
        <f>SUM('Model inputs'!N101,'Model inputs'!N102,'Model inputs'!N103,'Model inputs'!N104)</f>
        <v>170</v>
      </c>
      <c r="O44" s="8">
        <f>SUM('Model inputs'!O101,'Model inputs'!O102,'Model inputs'!O103,'Model inputs'!O104)</f>
        <v>170</v>
      </c>
      <c r="P44" s="8">
        <f>SUM('Model inputs'!P101,'Model inputs'!P102,'Model inputs'!P103,'Model inputs'!P104)</f>
        <v>170</v>
      </c>
      <c r="Q44" s="8">
        <f>SUM('Model inputs'!Q101,'Model inputs'!Q102,'Model inputs'!Q103,'Model inputs'!Q104)</f>
        <v>170</v>
      </c>
      <c r="R44" s="8">
        <f>SUM('Model inputs'!R101,'Model inputs'!R102,'Model inputs'!R103,'Model inputs'!R104)</f>
        <v>170</v>
      </c>
      <c r="S44" s="8">
        <f>SUM('Model inputs'!S101,'Model inputs'!S102,'Model inputs'!S103,'Model inputs'!S104)</f>
        <v>170</v>
      </c>
      <c r="T44" s="8">
        <f>SUM('Model inputs'!T101,'Model inputs'!T102,'Model inputs'!T103,'Model inputs'!T104)</f>
        <v>170</v>
      </c>
      <c r="U44" s="8">
        <f>SUM('Model inputs'!U101,'Model inputs'!U102,'Model inputs'!U103,'Model inputs'!U104)</f>
        <v>170</v>
      </c>
      <c r="V44" s="8">
        <f>SUM('Model inputs'!V101,'Model inputs'!V102,'Model inputs'!V103,'Model inputs'!V104)</f>
        <v>170</v>
      </c>
      <c r="W44" s="8">
        <f>SUM('Model inputs'!W101,'Model inputs'!W102,'Model inputs'!W103,'Model inputs'!W104)</f>
        <v>170</v>
      </c>
      <c r="X44" s="8">
        <f>SUM('Model inputs'!X101,'Model inputs'!X102,'Model inputs'!X103,'Model inputs'!X104)</f>
        <v>170</v>
      </c>
      <c r="Y44" s="8">
        <f>SUM('Model inputs'!Y101,'Model inputs'!Y102,'Model inputs'!Y103,'Model inputs'!Y104)</f>
        <v>170</v>
      </c>
      <c r="Z44" s="8">
        <f>SUM('Model inputs'!Z101,'Model inputs'!Z102,'Model inputs'!Z103,'Model inputs'!Z104)</f>
        <v>170</v>
      </c>
      <c r="AA44" s="8">
        <f>SUM('Model inputs'!AA101,'Model inputs'!AA102,'Model inputs'!AA103,'Model inputs'!AA104)</f>
        <v>170</v>
      </c>
      <c r="AB44" s="8">
        <f>SUM('Model inputs'!AB101,'Model inputs'!AB102,'Model inputs'!AB103,'Model inputs'!AB104)</f>
        <v>170</v>
      </c>
      <c r="AC44" s="8">
        <f>SUM('Model inputs'!AC101,'Model inputs'!AC102,'Model inputs'!AC103,'Model inputs'!AC104)</f>
        <v>170</v>
      </c>
      <c r="AD44" s="8">
        <f>SUM('Model inputs'!AD101,'Model inputs'!AD102,'Model inputs'!AD103,'Model inputs'!AD104)</f>
        <v>170</v>
      </c>
      <c r="AE44" s="8">
        <f>SUM('Model inputs'!AE101,'Model inputs'!AE102,'Model inputs'!AE103,'Model inputs'!AE104)</f>
        <v>170</v>
      </c>
      <c r="AF44" s="8">
        <f>SUM('Model inputs'!AF101,'Model inputs'!AF102,'Model inputs'!AF103,'Model inputs'!AF104)</f>
        <v>170</v>
      </c>
      <c r="AG44" s="8">
        <f>SUM('Model inputs'!AG101,'Model inputs'!AG102,'Model inputs'!AG103,'Model inputs'!AG104)</f>
        <v>170</v>
      </c>
      <c r="AH44" s="8">
        <f>SUM('Model inputs'!AH101,'Model inputs'!AH102,'Model inputs'!AH103,'Model inputs'!AH104)</f>
        <v>170</v>
      </c>
    </row>
    <row r="45">
      <c r="A45" t="inlineStr" s="11">
        <is>
          <t xml:space="preserve">Fixed costs · Growth · $0.34</t>
        </is>
      </c>
      <c r="B45" s="8">
        <f>SUM('Model inputs'!B106,'Model inputs'!B107,'Model inputs'!B108,'Model inputs'!B109)</f>
        <v>0</v>
      </c>
      <c r="C45" s="8">
        <f>SUM('Model inputs'!C106,'Model inputs'!C107,'Model inputs'!C108,'Model inputs'!C109)</f>
        <v>0</v>
      </c>
      <c r="D45" s="8">
        <f>SUM('Model inputs'!D106,'Model inputs'!D107,'Model inputs'!D108,'Model inputs'!D109)</f>
        <v>0</v>
      </c>
      <c r="E45" s="8">
        <f>SUM('Model inputs'!E106,'Model inputs'!E107,'Model inputs'!E108,'Model inputs'!E109)</f>
        <v>0</v>
      </c>
      <c r="F45" s="8">
        <f>SUM('Model inputs'!F106,'Model inputs'!F107,'Model inputs'!F108,'Model inputs'!F109)</f>
        <v>0</v>
      </c>
      <c r="G45" s="8">
        <f>SUM('Model inputs'!G106,'Model inputs'!G107,'Model inputs'!G108,'Model inputs'!G109)</f>
        <v>0</v>
      </c>
      <c r="H45" s="8">
        <f>SUM('Model inputs'!H106,'Model inputs'!H107,'Model inputs'!H108,'Model inputs'!H109)</f>
        <v>0</v>
      </c>
      <c r="I45" s="8">
        <f>SUM('Model inputs'!I106,'Model inputs'!I107,'Model inputs'!I108,'Model inputs'!I109)</f>
        <v>0</v>
      </c>
      <c r="J45" s="8">
        <f>SUM('Model inputs'!J106,'Model inputs'!J107,'Model inputs'!J108,'Model inputs'!J109)</f>
        <v>0</v>
      </c>
      <c r="K45" s="8">
        <f>SUM('Model inputs'!K106,'Model inputs'!K107,'Model inputs'!K108,'Model inputs'!K109)</f>
        <v>170</v>
      </c>
      <c r="L45" s="8">
        <f>SUM('Model inputs'!L106,'Model inputs'!L107,'Model inputs'!L108,'Model inputs'!L109)</f>
        <v>170</v>
      </c>
      <c r="M45" s="8">
        <f>SUM('Model inputs'!M106,'Model inputs'!M107,'Model inputs'!M108,'Model inputs'!M109)</f>
        <v>170</v>
      </c>
      <c r="N45" s="8">
        <f>SUM('Model inputs'!N106,'Model inputs'!N107,'Model inputs'!N108,'Model inputs'!N109)</f>
        <v>170</v>
      </c>
      <c r="O45" s="8">
        <f>SUM('Model inputs'!O106,'Model inputs'!O107,'Model inputs'!O108,'Model inputs'!O109)</f>
        <v>170</v>
      </c>
      <c r="P45" s="8">
        <f>SUM('Model inputs'!P106,'Model inputs'!P107,'Model inputs'!P108,'Model inputs'!P109)</f>
        <v>170</v>
      </c>
      <c r="Q45" s="8">
        <f>SUM('Model inputs'!Q106,'Model inputs'!Q107,'Model inputs'!Q108,'Model inputs'!Q109)</f>
        <v>170</v>
      </c>
      <c r="R45" s="8">
        <f>SUM('Model inputs'!R106,'Model inputs'!R107,'Model inputs'!R108,'Model inputs'!R109)</f>
        <v>170</v>
      </c>
      <c r="S45" s="8">
        <f>SUM('Model inputs'!S106,'Model inputs'!S107,'Model inputs'!S108,'Model inputs'!S109)</f>
        <v>170</v>
      </c>
      <c r="T45" s="8">
        <f>SUM('Model inputs'!T106,'Model inputs'!T107,'Model inputs'!T108,'Model inputs'!T109)</f>
        <v>170</v>
      </c>
      <c r="U45" s="8">
        <f>SUM('Model inputs'!U106,'Model inputs'!U107,'Model inputs'!U108,'Model inputs'!U109)</f>
        <v>170</v>
      </c>
      <c r="V45" s="8">
        <f>SUM('Model inputs'!V106,'Model inputs'!V107,'Model inputs'!V108,'Model inputs'!V109)</f>
        <v>170</v>
      </c>
      <c r="W45" s="8">
        <f>SUM('Model inputs'!W106,'Model inputs'!W107,'Model inputs'!W108,'Model inputs'!W109)</f>
        <v>170</v>
      </c>
      <c r="X45" s="8">
        <f>SUM('Model inputs'!X106,'Model inputs'!X107,'Model inputs'!X108,'Model inputs'!X109)</f>
        <v>170</v>
      </c>
      <c r="Y45" s="8">
        <f>SUM('Model inputs'!Y106,'Model inputs'!Y107,'Model inputs'!Y108,'Model inputs'!Y109)</f>
        <v>170</v>
      </c>
      <c r="Z45" s="8">
        <f>SUM('Model inputs'!Z106,'Model inputs'!Z107,'Model inputs'!Z108,'Model inputs'!Z109)</f>
        <v>170</v>
      </c>
      <c r="AA45" s="8">
        <f>SUM('Model inputs'!AA106,'Model inputs'!AA107,'Model inputs'!AA108,'Model inputs'!AA109)</f>
        <v>170</v>
      </c>
      <c r="AB45" s="8">
        <f>SUM('Model inputs'!AB106,'Model inputs'!AB107,'Model inputs'!AB108,'Model inputs'!AB109)</f>
        <v>170</v>
      </c>
      <c r="AC45" s="8">
        <f>SUM('Model inputs'!AC106,'Model inputs'!AC107,'Model inputs'!AC108,'Model inputs'!AC109)</f>
        <v>170</v>
      </c>
      <c r="AD45" s="8">
        <f>SUM('Model inputs'!AD106,'Model inputs'!AD107,'Model inputs'!AD108,'Model inputs'!AD109)</f>
        <v>170</v>
      </c>
      <c r="AE45" s="8">
        <f>SUM('Model inputs'!AE106,'Model inputs'!AE107,'Model inputs'!AE108,'Model inputs'!AE109)</f>
        <v>170</v>
      </c>
      <c r="AF45" s="8">
        <f>SUM('Model inputs'!AF106,'Model inputs'!AF107,'Model inputs'!AF108,'Model inputs'!AF109)</f>
        <v>170</v>
      </c>
      <c r="AG45" s="8">
        <f>SUM('Model inputs'!AG106,'Model inputs'!AG107,'Model inputs'!AG108,'Model inputs'!AG109)</f>
        <v>170</v>
      </c>
      <c r="AH45" s="8">
        <f>SUM('Model inputs'!AH106,'Model inputs'!AH107,'Model inputs'!AH108,'Model inputs'!AH109)</f>
        <v>170</v>
      </c>
    </row>
    <row r="46">
      <c r="A46" t="inlineStr" s="11">
        <is>
          <t xml:space="preserve">Growth months · Main Scenario</t>
        </is>
      </c>
      <c r="AI46" s="8">
        <f>12</f>
        <v>12</v>
      </c>
    </row>
    <row r="47">
      <c r="A47" t="inlineStr" s="11">
        <is>
          <t xml:space="preserve">Growth months · Growth · $0.60</t>
        </is>
      </c>
      <c r="AI47" s="8">
        <f>'Model inputs'!AI46</f>
        <v>12</v>
      </c>
    </row>
    <row r="48">
      <c r="A48" t="inlineStr" s="11">
        <is>
          <t xml:space="preserve">Growth months · Base · $0.60</t>
        </is>
      </c>
      <c r="AI48" s="8">
        <f>'Model inputs'!AI46</f>
        <v>12</v>
      </c>
    </row>
    <row r="49">
      <c r="A49" t="inlineStr" s="11">
        <is>
          <t xml:space="preserve">Growth months · Growth · $0.34</t>
        </is>
      </c>
      <c r="AI49" s="8">
        <f>'Model inputs'!AI46</f>
        <v>12</v>
      </c>
    </row>
    <row r="50">
      <c r="A50" t="inlineStr" s="11">
        <is>
          <t xml:space="preserve">Launch month jobs · Main Scenario</t>
        </is>
      </c>
      <c r="AI50" s="8">
        <f>1000</f>
        <v>1000</v>
      </c>
    </row>
    <row r="51">
      <c r="A51" t="inlineStr" s="11">
        <is>
          <t xml:space="preserve">Launch month jobs · Growth · $0.60</t>
        </is>
      </c>
      <c r="AI51" s="8">
        <f>'Model inputs'!AI50</f>
        <v>1000</v>
      </c>
    </row>
    <row r="52">
      <c r="A52" t="inlineStr" s="11">
        <is>
          <t xml:space="preserve">Launch month jobs · Base · $0.60</t>
        </is>
      </c>
      <c r="AI52" s="8">
        <f>'Model inputs'!AI50</f>
        <v>1000</v>
      </c>
    </row>
    <row r="53">
      <c r="A53" t="inlineStr" s="11">
        <is>
          <t xml:space="preserve">Launch month jobs · Growth · $0.34</t>
        </is>
      </c>
      <c r="AI53" s="8">
        <f>'Model inputs'!AI50</f>
        <v>1000</v>
      </c>
    </row>
    <row r="54">
      <c r="A54" t="inlineStr" s="11">
        <is>
          <t xml:space="preserve">Model usage cost · Main Scenario</t>
        </is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f>'Model inputs'!K78*'Model inputs'!AI86</f>
        <v>0</v>
      </c>
      <c r="L54" s="8">
        <f>'Model inputs'!L78*'Model inputs'!AI86</f>
        <v>97.5</v>
      </c>
      <c r="M54" s="8">
        <f>'Model inputs'!M78*'Model inputs'!AI86</f>
        <v>97.5</v>
      </c>
      <c r="N54" s="8">
        <f>'Model inputs'!N78*'Model inputs'!AI86</f>
        <v>97.5</v>
      </c>
      <c r="O54" s="8">
        <f>'Model inputs'!O78*'Model inputs'!AI86</f>
        <v>97.5</v>
      </c>
      <c r="P54" s="8">
        <f>'Model inputs'!P78*'Model inputs'!AI86</f>
        <v>97.5</v>
      </c>
      <c r="Q54" s="8">
        <f>'Model inputs'!Q78*'Model inputs'!AI86</f>
        <v>97.5</v>
      </c>
      <c r="R54" s="8">
        <f>'Model inputs'!R78*'Model inputs'!AI86</f>
        <v>97.5</v>
      </c>
      <c r="S54" s="8">
        <f>'Model inputs'!S78*'Model inputs'!AI86</f>
        <v>97.5</v>
      </c>
      <c r="T54" s="8">
        <f>'Model inputs'!T78*'Model inputs'!AI86</f>
        <v>97.5</v>
      </c>
      <c r="U54" s="8">
        <f>'Model inputs'!U78*'Model inputs'!AI86</f>
        <v>97.5</v>
      </c>
      <c r="V54" s="8">
        <f>'Model inputs'!V78*'Model inputs'!AI86</f>
        <v>97.5</v>
      </c>
      <c r="W54" s="8">
        <f>'Model inputs'!W78*'Model inputs'!AI86</f>
        <v>97.5</v>
      </c>
      <c r="X54" s="8">
        <f>'Model inputs'!X78*'Model inputs'!AI86</f>
        <v>97.5</v>
      </c>
      <c r="Y54" s="8">
        <f>'Model inputs'!Y78*'Model inputs'!AI86</f>
        <v>97.5</v>
      </c>
      <c r="Z54" s="8">
        <f>'Model inputs'!Z78*'Model inputs'!AI86</f>
        <v>97.5</v>
      </c>
      <c r="AA54" s="8">
        <f>'Model inputs'!AA78*'Model inputs'!AI86</f>
        <v>97.5</v>
      </c>
      <c r="AB54" s="8">
        <f>'Model inputs'!AB78*'Model inputs'!AI86</f>
        <v>97.5</v>
      </c>
      <c r="AC54" s="8">
        <f>'Model inputs'!AC78*'Model inputs'!AI86</f>
        <v>97.5</v>
      </c>
      <c r="AD54" s="8">
        <f>'Model inputs'!AD78*'Model inputs'!AI86</f>
        <v>97.5</v>
      </c>
      <c r="AE54" s="8">
        <f>'Model inputs'!AE78*'Model inputs'!AI86</f>
        <v>97.5</v>
      </c>
      <c r="AF54" s="8">
        <f>'Model inputs'!AF78*'Model inputs'!AI86</f>
        <v>97.5</v>
      </c>
      <c r="AG54" s="8">
        <f>'Model inputs'!AG78*'Model inputs'!AI86</f>
        <v>97.5</v>
      </c>
      <c r="AH54" s="8">
        <f>'Model inputs'!AH78*'Model inputs'!AI86</f>
        <v>97.5</v>
      </c>
    </row>
    <row r="55">
      <c r="A55" t="inlineStr" s="11">
        <is>
          <t xml:space="preserve">Model usage cost · Growth · $0.60</t>
        </is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f>'Model inputs'!K79*'Model inputs'!AI87</f>
        <v>0</v>
      </c>
      <c r="L55" s="8">
        <f>'Model inputs'!L79*'Model inputs'!AI87</f>
        <v>82.875</v>
      </c>
      <c r="M55" s="8">
        <f>'Model inputs'!M79*'Model inputs'!AI87</f>
        <v>103.59375</v>
      </c>
      <c r="N55" s="8">
        <f>'Model inputs'!N79*'Model inputs'!AI87</f>
        <v>129.4921875</v>
      </c>
      <c r="O55" s="8">
        <f>'Model inputs'!O79*'Model inputs'!AI87</f>
        <v>161.865234375</v>
      </c>
      <c r="P55" s="8">
        <f>'Model inputs'!P79*'Model inputs'!AI87</f>
        <v>202.33154296875</v>
      </c>
      <c r="Q55" s="8">
        <f>'Model inputs'!Q79*'Model inputs'!AI87</f>
        <v>252.9144287109375</v>
      </c>
      <c r="R55" s="8">
        <f>'Model inputs'!R79*'Model inputs'!AI87</f>
        <v>316.1430358886719</v>
      </c>
      <c r="S55" s="8">
        <f>'Model inputs'!S79*'Model inputs'!AI87</f>
        <v>395.17879486083984</v>
      </c>
      <c r="T55" s="8">
        <f>'Model inputs'!T79*'Model inputs'!AI87</f>
        <v>493.9734935760498</v>
      </c>
      <c r="U55" s="8">
        <f>'Model inputs'!U79*'Model inputs'!AI87</f>
        <v>617.4668669700623</v>
      </c>
      <c r="V55" s="8">
        <f>'Model inputs'!V79*'Model inputs'!AI87</f>
        <v>771.8335837125778</v>
      </c>
      <c r="W55" s="8">
        <f>'Model inputs'!W79*'Model inputs'!AI87</f>
        <v>964.7919796407223</v>
      </c>
      <c r="X55" s="8">
        <f>'Model inputs'!X79*'Model inputs'!AI87</f>
        <v>964.7919796407223</v>
      </c>
      <c r="Y55" s="8">
        <f>'Model inputs'!Y79*'Model inputs'!AI87</f>
        <v>964.7919796407223</v>
      </c>
      <c r="Z55" s="8">
        <f>'Model inputs'!Z79*'Model inputs'!AI87</f>
        <v>964.7919796407223</v>
      </c>
      <c r="AA55" s="8">
        <f>'Model inputs'!AA79*'Model inputs'!AI87</f>
        <v>964.7919796407223</v>
      </c>
      <c r="AB55" s="8">
        <f>'Model inputs'!AB79*'Model inputs'!AI87</f>
        <v>964.7919796407223</v>
      </c>
      <c r="AC55" s="8">
        <f>'Model inputs'!AC79*'Model inputs'!AI87</f>
        <v>964.7919796407223</v>
      </c>
      <c r="AD55" s="8">
        <f>'Model inputs'!AD79*'Model inputs'!AI87</f>
        <v>964.7919796407223</v>
      </c>
      <c r="AE55" s="8">
        <f>'Model inputs'!AE79*'Model inputs'!AI87</f>
        <v>964.7919796407223</v>
      </c>
      <c r="AF55" s="8">
        <f>'Model inputs'!AF79*'Model inputs'!AI87</f>
        <v>964.7919796407223</v>
      </c>
      <c r="AG55" s="8">
        <f>'Model inputs'!AG79*'Model inputs'!AI87</f>
        <v>964.7919796407223</v>
      </c>
      <c r="AH55" s="8">
        <f>'Model inputs'!AH79*'Model inputs'!AI87</f>
        <v>964.7919796407223</v>
      </c>
    </row>
    <row r="56">
      <c r="A56" t="inlineStr" s="11">
        <is>
          <t xml:space="preserve">Model usage cost · Base · $0.60</t>
        </is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f>'Model inputs'!K80*'Model inputs'!AI88</f>
        <v>0</v>
      </c>
      <c r="L56" s="8">
        <f>'Model inputs'!L80*'Model inputs'!AI88</f>
        <v>82.875</v>
      </c>
      <c r="M56" s="8">
        <f>'Model inputs'!M80*'Model inputs'!AI88</f>
        <v>82.875</v>
      </c>
      <c r="N56" s="8">
        <f>'Model inputs'!N80*'Model inputs'!AI88</f>
        <v>82.875</v>
      </c>
      <c r="O56" s="8">
        <f>'Model inputs'!O80*'Model inputs'!AI88</f>
        <v>82.875</v>
      </c>
      <c r="P56" s="8">
        <f>'Model inputs'!P80*'Model inputs'!AI88</f>
        <v>82.875</v>
      </c>
      <c r="Q56" s="8">
        <f>'Model inputs'!Q80*'Model inputs'!AI88</f>
        <v>82.875</v>
      </c>
      <c r="R56" s="8">
        <f>'Model inputs'!R80*'Model inputs'!AI88</f>
        <v>82.875</v>
      </c>
      <c r="S56" s="8">
        <f>'Model inputs'!S80*'Model inputs'!AI88</f>
        <v>82.875</v>
      </c>
      <c r="T56" s="8">
        <f>'Model inputs'!T80*'Model inputs'!AI88</f>
        <v>82.875</v>
      </c>
      <c r="U56" s="8">
        <f>'Model inputs'!U80*'Model inputs'!AI88</f>
        <v>82.875</v>
      </c>
      <c r="V56" s="8">
        <f>'Model inputs'!V80*'Model inputs'!AI88</f>
        <v>82.875</v>
      </c>
      <c r="W56" s="8">
        <f>'Model inputs'!W80*'Model inputs'!AI88</f>
        <v>82.875</v>
      </c>
      <c r="X56" s="8">
        <f>'Model inputs'!X80*'Model inputs'!AI88</f>
        <v>82.875</v>
      </c>
      <c r="Y56" s="8">
        <f>'Model inputs'!Y80*'Model inputs'!AI88</f>
        <v>82.875</v>
      </c>
      <c r="Z56" s="8">
        <f>'Model inputs'!Z80*'Model inputs'!AI88</f>
        <v>82.875</v>
      </c>
      <c r="AA56" s="8">
        <f>'Model inputs'!AA80*'Model inputs'!AI88</f>
        <v>82.875</v>
      </c>
      <c r="AB56" s="8">
        <f>'Model inputs'!AB80*'Model inputs'!AI88</f>
        <v>82.875</v>
      </c>
      <c r="AC56" s="8">
        <f>'Model inputs'!AC80*'Model inputs'!AI88</f>
        <v>82.875</v>
      </c>
      <c r="AD56" s="8">
        <f>'Model inputs'!AD80*'Model inputs'!AI88</f>
        <v>82.875</v>
      </c>
      <c r="AE56" s="8">
        <f>'Model inputs'!AE80*'Model inputs'!AI88</f>
        <v>82.875</v>
      </c>
      <c r="AF56" s="8">
        <f>'Model inputs'!AF80*'Model inputs'!AI88</f>
        <v>82.875</v>
      </c>
      <c r="AG56" s="8">
        <f>'Model inputs'!AG80*'Model inputs'!AI88</f>
        <v>82.875</v>
      </c>
      <c r="AH56" s="8">
        <f>'Model inputs'!AH80*'Model inputs'!AI88</f>
        <v>82.875</v>
      </c>
    </row>
    <row r="57">
      <c r="A57" t="inlineStr" s="11">
        <is>
          <t xml:space="preserve">Model usage cost · Growth · $0.34</t>
        </is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f>'Model inputs'!K81*'Model inputs'!AI89</f>
        <v>0</v>
      </c>
      <c r="L57" s="8">
        <f>'Model inputs'!L81*'Model inputs'!AI89</f>
        <v>97.5</v>
      </c>
      <c r="M57" s="8">
        <f>'Model inputs'!M81*'Model inputs'!AI89</f>
        <v>121.875</v>
      </c>
      <c r="N57" s="8">
        <f>'Model inputs'!N81*'Model inputs'!AI89</f>
        <v>152.34375</v>
      </c>
      <c r="O57" s="8">
        <f>'Model inputs'!O81*'Model inputs'!AI89</f>
        <v>190.4296875</v>
      </c>
      <c r="P57" s="8">
        <f>'Model inputs'!P81*'Model inputs'!AI89</f>
        <v>238.037109375</v>
      </c>
      <c r="Q57" s="8">
        <f>'Model inputs'!Q81*'Model inputs'!AI89</f>
        <v>297.54638671875</v>
      </c>
      <c r="R57" s="8">
        <f>'Model inputs'!R81*'Model inputs'!AI89</f>
        <v>371.9329833984375</v>
      </c>
      <c r="S57" s="8">
        <f>'Model inputs'!S81*'Model inputs'!AI89</f>
        <v>464.9162292480469</v>
      </c>
      <c r="T57" s="8">
        <f>'Model inputs'!T81*'Model inputs'!AI89</f>
        <v>581.1452865600586</v>
      </c>
      <c r="U57" s="8">
        <f>'Model inputs'!U81*'Model inputs'!AI89</f>
        <v>726.4316082000732</v>
      </c>
      <c r="V57" s="8">
        <f>'Model inputs'!V81*'Model inputs'!AI89</f>
        <v>908.0395102500916</v>
      </c>
      <c r="W57" s="8">
        <f>'Model inputs'!W81*'Model inputs'!AI89</f>
        <v>1135.0493878126144</v>
      </c>
      <c r="X57" s="8">
        <f>'Model inputs'!X81*'Model inputs'!AI89</f>
        <v>1135.0493878126144</v>
      </c>
      <c r="Y57" s="8">
        <f>'Model inputs'!Y81*'Model inputs'!AI89</f>
        <v>1135.0493878126144</v>
      </c>
      <c r="Z57" s="8">
        <f>'Model inputs'!Z81*'Model inputs'!AI89</f>
        <v>1135.0493878126144</v>
      </c>
      <c r="AA57" s="8">
        <f>'Model inputs'!AA81*'Model inputs'!AI89</f>
        <v>1135.0493878126144</v>
      </c>
      <c r="AB57" s="8">
        <f>'Model inputs'!AB81*'Model inputs'!AI89</f>
        <v>1135.0493878126144</v>
      </c>
      <c r="AC57" s="8">
        <f>'Model inputs'!AC81*'Model inputs'!AI89</f>
        <v>1135.0493878126144</v>
      </c>
      <c r="AD57" s="8">
        <f>'Model inputs'!AD81*'Model inputs'!AI89</f>
        <v>1135.0493878126144</v>
      </c>
      <c r="AE57" s="8">
        <f>'Model inputs'!AE81*'Model inputs'!AI89</f>
        <v>1135.0493878126144</v>
      </c>
      <c r="AF57" s="8">
        <f>'Model inputs'!AF81*'Model inputs'!AI89</f>
        <v>1135.0493878126144</v>
      </c>
      <c r="AG57" s="8">
        <f>'Model inputs'!AG81*'Model inputs'!AI89</f>
        <v>1135.0493878126144</v>
      </c>
      <c r="AH57" s="8">
        <f>'Model inputs'!AH81*'Model inputs'!AI89</f>
        <v>1135.0493878126144</v>
      </c>
    </row>
    <row r="58">
      <c r="A58" t="inlineStr" s="11">
        <is>
          <t xml:space="preserve">Monthly job growth · Main Scenario</t>
        </is>
      </c>
      <c r="AI58" s="8">
        <f>0</f>
        <v>0</v>
      </c>
    </row>
    <row r="59">
      <c r="A59" t="inlineStr" s="11">
        <is>
          <t xml:space="preserve">Monthly job growth · Growth · $0.60</t>
        </is>
      </c>
      <c r="AI59" s="8">
        <f>0.25</f>
        <v>0.25</v>
      </c>
    </row>
    <row r="60">
      <c r="A60" t="inlineStr" s="11">
        <is>
          <t xml:space="preserve">Monthly job growth · Base · $0.60</t>
        </is>
      </c>
      <c r="AI60" s="8">
        <f>'Model inputs'!AI58</f>
        <v>0</v>
      </c>
    </row>
    <row r="61">
      <c r="A61" t="inlineStr" s="11">
        <is>
          <t xml:space="preserve">Monthly job growth · Growth · $0.34</t>
        </is>
      </c>
      <c r="AI61" s="8">
        <f>0.25</f>
        <v>0.25</v>
      </c>
    </row>
    <row r="62">
      <c r="A62" t="inlineStr" s="11">
        <is>
          <t xml:space="preserve">Months since launch · Main Scenario</t>
        </is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f>IF(IF(IF(ISERROR(DATE(2026,10,1)&lt;DATE(YEAR('Model inputs'!AI114),MONTH('Model inputs'!AI114),1)),DATE(2026,10,1)&lt;DATE(YEAR('Model inputs'!AI114),MONTH('Model inputs'!AI114),1),IF(DATE(YEAR('Model inputs'!AI114),MONTH('Model inputs'!AI114),1)="","",DATE(2026,10,1)&lt;DATE(YEAR('Model inputs'!AI114),MONTH('Model inputs'!AI114),1)))="",FALSE,IF(ISERROR(DATE(2026,10,1)&lt;DATE(YEAR('Model inputs'!AI114),MONTH('Model inputs'!AI114),1)),DATE(2026,10,1)&lt;DATE(YEAR('Model inputs'!AI114),MONTH('Model inputs'!AI114),1),IF(DATE(YEAR('Model inputs'!AI114),MONTH('Model inputs'!AI114),1)="","",DATE(2026,10,1)&lt;DATE(YEAR('Model inputs'!AI114),MONTH('Model inputs'!AI114),1)))),0,IFERROR(DATEDIF(DATE(YEAR('Model inputs'!AI114),MONTH('Model inputs'!AI114),1),DATE(2026,10,1),"M"),0)+1)</f>
        <v>0</v>
      </c>
      <c r="L62" s="8">
        <f>IF(IF(IF(ISERROR(DATE(2026,11,1)&lt;DATE(YEAR('Model inputs'!AI114),MONTH('Model inputs'!AI114),1)),DATE(2026,11,1)&lt;DATE(YEAR('Model inputs'!AI114),MONTH('Model inputs'!AI114),1),IF(DATE(YEAR('Model inputs'!AI114),MONTH('Model inputs'!AI114),1)="","",DATE(2026,11,1)&lt;DATE(YEAR('Model inputs'!AI114),MONTH('Model inputs'!AI114),1)))="",FALSE,IF(ISERROR(DATE(2026,11,1)&lt;DATE(YEAR('Model inputs'!AI114),MONTH('Model inputs'!AI114),1)),DATE(2026,11,1)&lt;DATE(YEAR('Model inputs'!AI114),MONTH('Model inputs'!AI114),1),IF(DATE(YEAR('Model inputs'!AI114),MONTH('Model inputs'!AI114),1)="","",DATE(2026,11,1)&lt;DATE(YEAR('Model inputs'!AI114),MONTH('Model inputs'!AI114),1)))),0,IFERROR(DATEDIF(DATE(YEAR('Model inputs'!AI114),MONTH('Model inputs'!AI114),1),DATE(2026,11,1),"M"),0)+1)</f>
        <v>1</v>
      </c>
      <c r="M62" s="8">
        <f>IF(IF(IF(ISERROR(DATE(2026,12,1)&lt;DATE(YEAR('Model inputs'!AI114),MONTH('Model inputs'!AI114),1)),DATE(2026,12,1)&lt;DATE(YEAR('Model inputs'!AI114),MONTH('Model inputs'!AI114),1),IF(DATE(YEAR('Model inputs'!AI114),MONTH('Model inputs'!AI114),1)="","",DATE(2026,12,1)&lt;DATE(YEAR('Model inputs'!AI114),MONTH('Model inputs'!AI114),1)))="",FALSE,IF(ISERROR(DATE(2026,12,1)&lt;DATE(YEAR('Model inputs'!AI114),MONTH('Model inputs'!AI114),1)),DATE(2026,12,1)&lt;DATE(YEAR('Model inputs'!AI114),MONTH('Model inputs'!AI114),1),IF(DATE(YEAR('Model inputs'!AI114),MONTH('Model inputs'!AI114),1)="","",DATE(2026,12,1)&lt;DATE(YEAR('Model inputs'!AI114),MONTH('Model inputs'!AI114),1)))),0,IFERROR(DATEDIF(DATE(YEAR('Model inputs'!AI114),MONTH('Model inputs'!AI114),1),DATE(2026,12,1),"M"),0)+1)</f>
        <v>2</v>
      </c>
      <c r="N62" s="8">
        <f>IF(IF(IF(ISERROR(DATE(2027,1,1)&lt;DATE(YEAR('Model inputs'!AI114),MONTH('Model inputs'!AI114),1)),DATE(2027,1,1)&lt;DATE(YEAR('Model inputs'!AI114),MONTH('Model inputs'!AI114),1),IF(DATE(YEAR('Model inputs'!AI114),MONTH('Model inputs'!AI114),1)="","",DATE(2027,1,1)&lt;DATE(YEAR('Model inputs'!AI114),MONTH('Model inputs'!AI114),1)))="",FALSE,IF(ISERROR(DATE(2027,1,1)&lt;DATE(YEAR('Model inputs'!AI114),MONTH('Model inputs'!AI114),1)),DATE(2027,1,1)&lt;DATE(YEAR('Model inputs'!AI114),MONTH('Model inputs'!AI114),1),IF(DATE(YEAR('Model inputs'!AI114),MONTH('Model inputs'!AI114),1)="","",DATE(2027,1,1)&lt;DATE(YEAR('Model inputs'!AI114),MONTH('Model inputs'!AI114),1)))),0,IFERROR(DATEDIF(DATE(YEAR('Model inputs'!AI114),MONTH('Model inputs'!AI114),1),DATE(2027,1,1),"M"),0)+1)</f>
        <v>3</v>
      </c>
      <c r="O62" s="8">
        <f>IF(IF(IF(ISERROR(DATE(2027,2,1)&lt;DATE(YEAR('Model inputs'!AI114),MONTH('Model inputs'!AI114),1)),DATE(2027,2,1)&lt;DATE(YEAR('Model inputs'!AI114),MONTH('Model inputs'!AI114),1),IF(DATE(YEAR('Model inputs'!AI114),MONTH('Model inputs'!AI114),1)="","",DATE(2027,2,1)&lt;DATE(YEAR('Model inputs'!AI114),MONTH('Model inputs'!AI114),1)))="",FALSE,IF(ISERROR(DATE(2027,2,1)&lt;DATE(YEAR('Model inputs'!AI114),MONTH('Model inputs'!AI114),1)),DATE(2027,2,1)&lt;DATE(YEAR('Model inputs'!AI114),MONTH('Model inputs'!AI114),1),IF(DATE(YEAR('Model inputs'!AI114),MONTH('Model inputs'!AI114),1)="","",DATE(2027,2,1)&lt;DATE(YEAR('Model inputs'!AI114),MONTH('Model inputs'!AI114),1)))),0,IFERROR(DATEDIF(DATE(YEAR('Model inputs'!AI114),MONTH('Model inputs'!AI114),1),DATE(2027,2,1),"M"),0)+1)</f>
        <v>4</v>
      </c>
      <c r="P62" s="8">
        <f>IF(IF(IF(ISERROR(DATE(2027,3,1)&lt;DATE(YEAR('Model inputs'!AI114),MONTH('Model inputs'!AI114),1)),DATE(2027,3,1)&lt;DATE(YEAR('Model inputs'!AI114),MONTH('Model inputs'!AI114),1),IF(DATE(YEAR('Model inputs'!AI114),MONTH('Model inputs'!AI114),1)="","",DATE(2027,3,1)&lt;DATE(YEAR('Model inputs'!AI114),MONTH('Model inputs'!AI114),1)))="",FALSE,IF(ISERROR(DATE(2027,3,1)&lt;DATE(YEAR('Model inputs'!AI114),MONTH('Model inputs'!AI114),1)),DATE(2027,3,1)&lt;DATE(YEAR('Model inputs'!AI114),MONTH('Model inputs'!AI114),1),IF(DATE(YEAR('Model inputs'!AI114),MONTH('Model inputs'!AI114),1)="","",DATE(2027,3,1)&lt;DATE(YEAR('Model inputs'!AI114),MONTH('Model inputs'!AI114),1)))),0,IFERROR(DATEDIF(DATE(YEAR('Model inputs'!AI114),MONTH('Model inputs'!AI114),1),DATE(2027,3,1),"M"),0)+1)</f>
        <v>5</v>
      </c>
      <c r="Q62" s="8">
        <f>IF(IF(IF(ISERROR(DATE(2027,4,1)&lt;DATE(YEAR('Model inputs'!AI114),MONTH('Model inputs'!AI114),1)),DATE(2027,4,1)&lt;DATE(YEAR('Model inputs'!AI114),MONTH('Model inputs'!AI114),1),IF(DATE(YEAR('Model inputs'!AI114),MONTH('Model inputs'!AI114),1)="","",DATE(2027,4,1)&lt;DATE(YEAR('Model inputs'!AI114),MONTH('Model inputs'!AI114),1)))="",FALSE,IF(ISERROR(DATE(2027,4,1)&lt;DATE(YEAR('Model inputs'!AI114),MONTH('Model inputs'!AI114),1)),DATE(2027,4,1)&lt;DATE(YEAR('Model inputs'!AI114),MONTH('Model inputs'!AI114),1),IF(DATE(YEAR('Model inputs'!AI114),MONTH('Model inputs'!AI114),1)="","",DATE(2027,4,1)&lt;DATE(YEAR('Model inputs'!AI114),MONTH('Model inputs'!AI114),1)))),0,IFERROR(DATEDIF(DATE(YEAR('Model inputs'!AI114),MONTH('Model inputs'!AI114),1),DATE(2027,4,1),"M"),0)+1)</f>
        <v>6</v>
      </c>
      <c r="R62" s="8">
        <f>IF(IF(IF(ISERROR(DATE(2027,5,1)&lt;DATE(YEAR('Model inputs'!AI114),MONTH('Model inputs'!AI114),1)),DATE(2027,5,1)&lt;DATE(YEAR('Model inputs'!AI114),MONTH('Model inputs'!AI114),1),IF(DATE(YEAR('Model inputs'!AI114),MONTH('Model inputs'!AI114),1)="","",DATE(2027,5,1)&lt;DATE(YEAR('Model inputs'!AI114),MONTH('Model inputs'!AI114),1)))="",FALSE,IF(ISERROR(DATE(2027,5,1)&lt;DATE(YEAR('Model inputs'!AI114),MONTH('Model inputs'!AI114),1)),DATE(2027,5,1)&lt;DATE(YEAR('Model inputs'!AI114),MONTH('Model inputs'!AI114),1),IF(DATE(YEAR('Model inputs'!AI114),MONTH('Model inputs'!AI114),1)="","",DATE(2027,5,1)&lt;DATE(YEAR('Model inputs'!AI114),MONTH('Model inputs'!AI114),1)))),0,IFERROR(DATEDIF(DATE(YEAR('Model inputs'!AI114),MONTH('Model inputs'!AI114),1),DATE(2027,5,1),"M"),0)+1)</f>
        <v>7</v>
      </c>
      <c r="S62" s="8">
        <f>IF(IF(IF(ISERROR(DATE(2027,6,1)&lt;DATE(YEAR('Model inputs'!AI114),MONTH('Model inputs'!AI114),1)),DATE(2027,6,1)&lt;DATE(YEAR('Model inputs'!AI114),MONTH('Model inputs'!AI114),1),IF(DATE(YEAR('Model inputs'!AI114),MONTH('Model inputs'!AI114),1)="","",DATE(2027,6,1)&lt;DATE(YEAR('Model inputs'!AI114),MONTH('Model inputs'!AI114),1)))="",FALSE,IF(ISERROR(DATE(2027,6,1)&lt;DATE(YEAR('Model inputs'!AI114),MONTH('Model inputs'!AI114),1)),DATE(2027,6,1)&lt;DATE(YEAR('Model inputs'!AI114),MONTH('Model inputs'!AI114),1),IF(DATE(YEAR('Model inputs'!AI114),MONTH('Model inputs'!AI114),1)="","",DATE(2027,6,1)&lt;DATE(YEAR('Model inputs'!AI114),MONTH('Model inputs'!AI114),1)))),0,IFERROR(DATEDIF(DATE(YEAR('Model inputs'!AI114),MONTH('Model inputs'!AI114),1),DATE(2027,6,1),"M"),0)+1)</f>
        <v>8</v>
      </c>
      <c r="T62" s="8">
        <f>IF(IF(IF(ISERROR(DATE(2027,7,1)&lt;DATE(YEAR('Model inputs'!AI114),MONTH('Model inputs'!AI114),1)),DATE(2027,7,1)&lt;DATE(YEAR('Model inputs'!AI114),MONTH('Model inputs'!AI114),1),IF(DATE(YEAR('Model inputs'!AI114),MONTH('Model inputs'!AI114),1)="","",DATE(2027,7,1)&lt;DATE(YEAR('Model inputs'!AI114),MONTH('Model inputs'!AI114),1)))="",FALSE,IF(ISERROR(DATE(2027,7,1)&lt;DATE(YEAR('Model inputs'!AI114),MONTH('Model inputs'!AI114),1)),DATE(2027,7,1)&lt;DATE(YEAR('Model inputs'!AI114),MONTH('Model inputs'!AI114),1),IF(DATE(YEAR('Model inputs'!AI114),MONTH('Model inputs'!AI114),1)="","",DATE(2027,7,1)&lt;DATE(YEAR('Model inputs'!AI114),MONTH('Model inputs'!AI114),1)))),0,IFERROR(DATEDIF(DATE(YEAR('Model inputs'!AI114),MONTH('Model inputs'!AI114),1),DATE(2027,7,1),"M"),0)+1)</f>
        <v>9</v>
      </c>
      <c r="U62" s="8">
        <f>IF(IF(IF(ISERROR(DATE(2027,8,1)&lt;DATE(YEAR('Model inputs'!AI114),MONTH('Model inputs'!AI114),1)),DATE(2027,8,1)&lt;DATE(YEAR('Model inputs'!AI114),MONTH('Model inputs'!AI114),1),IF(DATE(YEAR('Model inputs'!AI114),MONTH('Model inputs'!AI114),1)="","",DATE(2027,8,1)&lt;DATE(YEAR('Model inputs'!AI114),MONTH('Model inputs'!AI114),1)))="",FALSE,IF(ISERROR(DATE(2027,8,1)&lt;DATE(YEAR('Model inputs'!AI114),MONTH('Model inputs'!AI114),1)),DATE(2027,8,1)&lt;DATE(YEAR('Model inputs'!AI114),MONTH('Model inputs'!AI114),1),IF(DATE(YEAR('Model inputs'!AI114),MONTH('Model inputs'!AI114),1)="","",DATE(2027,8,1)&lt;DATE(YEAR('Model inputs'!AI114),MONTH('Model inputs'!AI114),1)))),0,IFERROR(DATEDIF(DATE(YEAR('Model inputs'!AI114),MONTH('Model inputs'!AI114),1),DATE(2027,8,1),"M"),0)+1)</f>
        <v>10</v>
      </c>
      <c r="V62" s="8">
        <f>IF(IF(IF(ISERROR(DATE(2027,9,1)&lt;DATE(YEAR('Model inputs'!AI114),MONTH('Model inputs'!AI114),1)),DATE(2027,9,1)&lt;DATE(YEAR('Model inputs'!AI114),MONTH('Model inputs'!AI114),1),IF(DATE(YEAR('Model inputs'!AI114),MONTH('Model inputs'!AI114),1)="","",DATE(2027,9,1)&lt;DATE(YEAR('Model inputs'!AI114),MONTH('Model inputs'!AI114),1)))="",FALSE,IF(ISERROR(DATE(2027,9,1)&lt;DATE(YEAR('Model inputs'!AI114),MONTH('Model inputs'!AI114),1)),DATE(2027,9,1)&lt;DATE(YEAR('Model inputs'!AI114),MONTH('Model inputs'!AI114),1),IF(DATE(YEAR('Model inputs'!AI114),MONTH('Model inputs'!AI114),1)="","",DATE(2027,9,1)&lt;DATE(YEAR('Model inputs'!AI114),MONTH('Model inputs'!AI114),1)))),0,IFERROR(DATEDIF(DATE(YEAR('Model inputs'!AI114),MONTH('Model inputs'!AI114),1),DATE(2027,9,1),"M"),0)+1)</f>
        <v>11</v>
      </c>
      <c r="W62" s="8">
        <f>IF(IF(IF(ISERROR(DATE(2027,10,1)&lt;DATE(YEAR('Model inputs'!AI114),MONTH('Model inputs'!AI114),1)),DATE(2027,10,1)&lt;DATE(YEAR('Model inputs'!AI114),MONTH('Model inputs'!AI114),1),IF(DATE(YEAR('Model inputs'!AI114),MONTH('Model inputs'!AI114),1)="","",DATE(2027,10,1)&lt;DATE(YEAR('Model inputs'!AI114),MONTH('Model inputs'!AI114),1)))="",FALSE,IF(ISERROR(DATE(2027,10,1)&lt;DATE(YEAR('Model inputs'!AI114),MONTH('Model inputs'!AI114),1)),DATE(2027,10,1)&lt;DATE(YEAR('Model inputs'!AI114),MONTH('Model inputs'!AI114),1),IF(DATE(YEAR('Model inputs'!AI114),MONTH('Model inputs'!AI114),1)="","",DATE(2027,10,1)&lt;DATE(YEAR('Model inputs'!AI114),MONTH('Model inputs'!AI114),1)))),0,IFERROR(DATEDIF(DATE(YEAR('Model inputs'!AI114),MONTH('Model inputs'!AI114),1),DATE(2027,10,1),"M"),0)+1)</f>
        <v>12</v>
      </c>
      <c r="X62" s="8">
        <f>IF(IF(IF(ISERROR(DATE(2027,11,1)&lt;DATE(YEAR('Model inputs'!AI114),MONTH('Model inputs'!AI114),1)),DATE(2027,11,1)&lt;DATE(YEAR('Model inputs'!AI114),MONTH('Model inputs'!AI114),1),IF(DATE(YEAR('Model inputs'!AI114),MONTH('Model inputs'!AI114),1)="","",DATE(2027,11,1)&lt;DATE(YEAR('Model inputs'!AI114),MONTH('Model inputs'!AI114),1)))="",FALSE,IF(ISERROR(DATE(2027,11,1)&lt;DATE(YEAR('Model inputs'!AI114),MONTH('Model inputs'!AI114),1)),DATE(2027,11,1)&lt;DATE(YEAR('Model inputs'!AI114),MONTH('Model inputs'!AI114),1),IF(DATE(YEAR('Model inputs'!AI114),MONTH('Model inputs'!AI114),1)="","",DATE(2027,11,1)&lt;DATE(YEAR('Model inputs'!AI114),MONTH('Model inputs'!AI114),1)))),0,IFERROR(DATEDIF(DATE(YEAR('Model inputs'!AI114),MONTH('Model inputs'!AI114),1),DATE(2027,11,1),"M"),0)+1)</f>
        <v>13</v>
      </c>
      <c r="Y62" s="8">
        <f>IF(IF(IF(ISERROR(DATE(2027,12,1)&lt;DATE(YEAR('Model inputs'!AI114),MONTH('Model inputs'!AI114),1)),DATE(2027,12,1)&lt;DATE(YEAR('Model inputs'!AI114),MONTH('Model inputs'!AI114),1),IF(DATE(YEAR('Model inputs'!AI114),MONTH('Model inputs'!AI114),1)="","",DATE(2027,12,1)&lt;DATE(YEAR('Model inputs'!AI114),MONTH('Model inputs'!AI114),1)))="",FALSE,IF(ISERROR(DATE(2027,12,1)&lt;DATE(YEAR('Model inputs'!AI114),MONTH('Model inputs'!AI114),1)),DATE(2027,12,1)&lt;DATE(YEAR('Model inputs'!AI114),MONTH('Model inputs'!AI114),1),IF(DATE(YEAR('Model inputs'!AI114),MONTH('Model inputs'!AI114),1)="","",DATE(2027,12,1)&lt;DATE(YEAR('Model inputs'!AI114),MONTH('Model inputs'!AI114),1)))),0,IFERROR(DATEDIF(DATE(YEAR('Model inputs'!AI114),MONTH('Model inputs'!AI114),1),DATE(2027,12,1),"M"),0)+1)</f>
        <v>14</v>
      </c>
      <c r="Z62" s="8">
        <f>IF(IF(IF(ISERROR(DATE(2028,1,1)&lt;DATE(YEAR('Model inputs'!AI114),MONTH('Model inputs'!AI114),1)),DATE(2028,1,1)&lt;DATE(YEAR('Model inputs'!AI114),MONTH('Model inputs'!AI114),1),IF(DATE(YEAR('Model inputs'!AI114),MONTH('Model inputs'!AI114),1)="","",DATE(2028,1,1)&lt;DATE(YEAR('Model inputs'!AI114),MONTH('Model inputs'!AI114),1)))="",FALSE,IF(ISERROR(DATE(2028,1,1)&lt;DATE(YEAR('Model inputs'!AI114),MONTH('Model inputs'!AI114),1)),DATE(2028,1,1)&lt;DATE(YEAR('Model inputs'!AI114),MONTH('Model inputs'!AI114),1),IF(DATE(YEAR('Model inputs'!AI114),MONTH('Model inputs'!AI114),1)="","",DATE(2028,1,1)&lt;DATE(YEAR('Model inputs'!AI114),MONTH('Model inputs'!AI114),1)))),0,IFERROR(DATEDIF(DATE(YEAR('Model inputs'!AI114),MONTH('Model inputs'!AI114),1),DATE(2028,1,1),"M"),0)+1)</f>
        <v>15</v>
      </c>
      <c r="AA62" s="8">
        <f>IF(IF(IF(ISERROR(DATE(2028,2,1)&lt;DATE(YEAR('Model inputs'!AI114),MONTH('Model inputs'!AI114),1)),DATE(2028,2,1)&lt;DATE(YEAR('Model inputs'!AI114),MONTH('Model inputs'!AI114),1),IF(DATE(YEAR('Model inputs'!AI114),MONTH('Model inputs'!AI114),1)="","",DATE(2028,2,1)&lt;DATE(YEAR('Model inputs'!AI114),MONTH('Model inputs'!AI114),1)))="",FALSE,IF(ISERROR(DATE(2028,2,1)&lt;DATE(YEAR('Model inputs'!AI114),MONTH('Model inputs'!AI114),1)),DATE(2028,2,1)&lt;DATE(YEAR('Model inputs'!AI114),MONTH('Model inputs'!AI114),1),IF(DATE(YEAR('Model inputs'!AI114),MONTH('Model inputs'!AI114),1)="","",DATE(2028,2,1)&lt;DATE(YEAR('Model inputs'!AI114),MONTH('Model inputs'!AI114),1)))),0,IFERROR(DATEDIF(DATE(YEAR('Model inputs'!AI114),MONTH('Model inputs'!AI114),1),DATE(2028,2,1),"M"),0)+1)</f>
        <v>16</v>
      </c>
      <c r="AB62" s="8">
        <f>IF(IF(IF(ISERROR(DATE(2028,3,1)&lt;DATE(YEAR('Model inputs'!AI114),MONTH('Model inputs'!AI114),1)),DATE(2028,3,1)&lt;DATE(YEAR('Model inputs'!AI114),MONTH('Model inputs'!AI114),1),IF(DATE(YEAR('Model inputs'!AI114),MONTH('Model inputs'!AI114),1)="","",DATE(2028,3,1)&lt;DATE(YEAR('Model inputs'!AI114),MONTH('Model inputs'!AI114),1)))="",FALSE,IF(ISERROR(DATE(2028,3,1)&lt;DATE(YEAR('Model inputs'!AI114),MONTH('Model inputs'!AI114),1)),DATE(2028,3,1)&lt;DATE(YEAR('Model inputs'!AI114),MONTH('Model inputs'!AI114),1),IF(DATE(YEAR('Model inputs'!AI114),MONTH('Model inputs'!AI114),1)="","",DATE(2028,3,1)&lt;DATE(YEAR('Model inputs'!AI114),MONTH('Model inputs'!AI114),1)))),0,IFERROR(DATEDIF(DATE(YEAR('Model inputs'!AI114),MONTH('Model inputs'!AI114),1),DATE(2028,3,1),"M"),0)+1)</f>
        <v>17</v>
      </c>
      <c r="AC62" s="8">
        <f>IF(IF(IF(ISERROR(DATE(2028,4,1)&lt;DATE(YEAR('Model inputs'!AI114),MONTH('Model inputs'!AI114),1)),DATE(2028,4,1)&lt;DATE(YEAR('Model inputs'!AI114),MONTH('Model inputs'!AI114),1),IF(DATE(YEAR('Model inputs'!AI114),MONTH('Model inputs'!AI114),1)="","",DATE(2028,4,1)&lt;DATE(YEAR('Model inputs'!AI114),MONTH('Model inputs'!AI114),1)))="",FALSE,IF(ISERROR(DATE(2028,4,1)&lt;DATE(YEAR('Model inputs'!AI114),MONTH('Model inputs'!AI114),1)),DATE(2028,4,1)&lt;DATE(YEAR('Model inputs'!AI114),MONTH('Model inputs'!AI114),1),IF(DATE(YEAR('Model inputs'!AI114),MONTH('Model inputs'!AI114),1)="","",DATE(2028,4,1)&lt;DATE(YEAR('Model inputs'!AI114),MONTH('Model inputs'!AI114),1)))),0,IFERROR(DATEDIF(DATE(YEAR('Model inputs'!AI114),MONTH('Model inputs'!AI114),1),DATE(2028,4,1),"M"),0)+1)</f>
        <v>18</v>
      </c>
      <c r="AD62" s="8">
        <f>IF(IF(IF(ISERROR(DATE(2028,5,1)&lt;DATE(YEAR('Model inputs'!AI114),MONTH('Model inputs'!AI114),1)),DATE(2028,5,1)&lt;DATE(YEAR('Model inputs'!AI114),MONTH('Model inputs'!AI114),1),IF(DATE(YEAR('Model inputs'!AI114),MONTH('Model inputs'!AI114),1)="","",DATE(2028,5,1)&lt;DATE(YEAR('Model inputs'!AI114),MONTH('Model inputs'!AI114),1)))="",FALSE,IF(ISERROR(DATE(2028,5,1)&lt;DATE(YEAR('Model inputs'!AI114),MONTH('Model inputs'!AI114),1)),DATE(2028,5,1)&lt;DATE(YEAR('Model inputs'!AI114),MONTH('Model inputs'!AI114),1),IF(DATE(YEAR('Model inputs'!AI114),MONTH('Model inputs'!AI114),1)="","",DATE(2028,5,1)&lt;DATE(YEAR('Model inputs'!AI114),MONTH('Model inputs'!AI114),1)))),0,IFERROR(DATEDIF(DATE(YEAR('Model inputs'!AI114),MONTH('Model inputs'!AI114),1),DATE(2028,5,1),"M"),0)+1)</f>
        <v>19</v>
      </c>
      <c r="AE62" s="8">
        <f>IF(IF(IF(ISERROR(DATE(2028,6,1)&lt;DATE(YEAR('Model inputs'!AI114),MONTH('Model inputs'!AI114),1)),DATE(2028,6,1)&lt;DATE(YEAR('Model inputs'!AI114),MONTH('Model inputs'!AI114),1),IF(DATE(YEAR('Model inputs'!AI114),MONTH('Model inputs'!AI114),1)="","",DATE(2028,6,1)&lt;DATE(YEAR('Model inputs'!AI114),MONTH('Model inputs'!AI114),1)))="",FALSE,IF(ISERROR(DATE(2028,6,1)&lt;DATE(YEAR('Model inputs'!AI114),MONTH('Model inputs'!AI114),1)),DATE(2028,6,1)&lt;DATE(YEAR('Model inputs'!AI114),MONTH('Model inputs'!AI114),1),IF(DATE(YEAR('Model inputs'!AI114),MONTH('Model inputs'!AI114),1)="","",DATE(2028,6,1)&lt;DATE(YEAR('Model inputs'!AI114),MONTH('Model inputs'!AI114),1)))),0,IFERROR(DATEDIF(DATE(YEAR('Model inputs'!AI114),MONTH('Model inputs'!AI114),1),DATE(2028,6,1),"M"),0)+1)</f>
        <v>20</v>
      </c>
      <c r="AF62" s="8">
        <f>IF(IF(IF(ISERROR(DATE(2028,7,1)&lt;DATE(YEAR('Model inputs'!AI114),MONTH('Model inputs'!AI114),1)),DATE(2028,7,1)&lt;DATE(YEAR('Model inputs'!AI114),MONTH('Model inputs'!AI114),1),IF(DATE(YEAR('Model inputs'!AI114),MONTH('Model inputs'!AI114),1)="","",DATE(2028,7,1)&lt;DATE(YEAR('Model inputs'!AI114),MONTH('Model inputs'!AI114),1)))="",FALSE,IF(ISERROR(DATE(2028,7,1)&lt;DATE(YEAR('Model inputs'!AI114),MONTH('Model inputs'!AI114),1)),DATE(2028,7,1)&lt;DATE(YEAR('Model inputs'!AI114),MONTH('Model inputs'!AI114),1),IF(DATE(YEAR('Model inputs'!AI114),MONTH('Model inputs'!AI114),1)="","",DATE(2028,7,1)&lt;DATE(YEAR('Model inputs'!AI114),MONTH('Model inputs'!AI114),1)))),0,IFERROR(DATEDIF(DATE(YEAR('Model inputs'!AI114),MONTH('Model inputs'!AI114),1),DATE(2028,7,1),"M"),0)+1)</f>
        <v>21</v>
      </c>
      <c r="AG62" s="8">
        <f>IF(IF(IF(ISERROR(DATE(2028,8,1)&lt;DATE(YEAR('Model inputs'!AI114),MONTH('Model inputs'!AI114),1)),DATE(2028,8,1)&lt;DATE(YEAR('Model inputs'!AI114),MONTH('Model inputs'!AI114),1),IF(DATE(YEAR('Model inputs'!AI114),MONTH('Model inputs'!AI114),1)="","",DATE(2028,8,1)&lt;DATE(YEAR('Model inputs'!AI114),MONTH('Model inputs'!AI114),1)))="",FALSE,IF(ISERROR(DATE(2028,8,1)&lt;DATE(YEAR('Model inputs'!AI114),MONTH('Model inputs'!AI114),1)),DATE(2028,8,1)&lt;DATE(YEAR('Model inputs'!AI114),MONTH('Model inputs'!AI114),1),IF(DATE(YEAR('Model inputs'!AI114),MONTH('Model inputs'!AI114),1)="","",DATE(2028,8,1)&lt;DATE(YEAR('Model inputs'!AI114),MONTH('Model inputs'!AI114),1)))),0,IFERROR(DATEDIF(DATE(YEAR('Model inputs'!AI114),MONTH('Model inputs'!AI114),1),DATE(2028,8,1),"M"),0)+1)</f>
        <v>22</v>
      </c>
      <c r="AH62" s="8">
        <f>IF(IF(IF(ISERROR(DATE(2028,9,1)&lt;DATE(YEAR('Model inputs'!AI114),MONTH('Model inputs'!AI114),1)),DATE(2028,9,1)&lt;DATE(YEAR('Model inputs'!AI114),MONTH('Model inputs'!AI114),1),IF(DATE(YEAR('Model inputs'!AI114),MONTH('Model inputs'!AI114),1)="","",DATE(2028,9,1)&lt;DATE(YEAR('Model inputs'!AI114),MONTH('Model inputs'!AI114),1)))="",FALSE,IF(ISERROR(DATE(2028,9,1)&lt;DATE(YEAR('Model inputs'!AI114),MONTH('Model inputs'!AI114),1)),DATE(2028,9,1)&lt;DATE(YEAR('Model inputs'!AI114),MONTH('Model inputs'!AI114),1),IF(DATE(YEAR('Model inputs'!AI114),MONTH('Model inputs'!AI114),1)="","",DATE(2028,9,1)&lt;DATE(YEAR('Model inputs'!AI114),MONTH('Model inputs'!AI114),1)))),0,IFERROR(DATEDIF(DATE(YEAR('Model inputs'!AI114),MONTH('Model inputs'!AI114),1),DATE(2028,9,1),"M"),0)+1)</f>
        <v>23</v>
      </c>
    </row>
    <row r="63">
      <c r="A63" t="inlineStr" s="11">
        <is>
          <t xml:space="preserve">Months since launch · Growth · $0.60</t>
        </is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f>IF(IF(IF(ISERROR(DATE(2026,10,1)&lt;DATE(YEAR('Model inputs'!AI115),MONTH('Model inputs'!AI115),1)),DATE(2026,10,1)&lt;DATE(YEAR('Model inputs'!AI115),MONTH('Model inputs'!AI115),1),IF(DATE(YEAR('Model inputs'!AI115),MONTH('Model inputs'!AI115),1)="","",DATE(2026,10,1)&lt;DATE(YEAR('Model inputs'!AI115),MONTH('Model inputs'!AI115),1)))="",FALSE,IF(ISERROR(DATE(2026,10,1)&lt;DATE(YEAR('Model inputs'!AI115),MONTH('Model inputs'!AI115),1)),DATE(2026,10,1)&lt;DATE(YEAR('Model inputs'!AI115),MONTH('Model inputs'!AI115),1),IF(DATE(YEAR('Model inputs'!AI115),MONTH('Model inputs'!AI115),1)="","",DATE(2026,10,1)&lt;DATE(YEAR('Model inputs'!AI115),MONTH('Model inputs'!AI115),1)))),0,IFERROR(DATEDIF(DATE(YEAR('Model inputs'!AI115),MONTH('Model inputs'!AI115),1),DATE(2026,10,1),"M"),0)+1)</f>
        <v>0</v>
      </c>
      <c r="L63" s="8">
        <f>IF(IF(IF(ISERROR(DATE(2026,11,1)&lt;DATE(YEAR('Model inputs'!AI115),MONTH('Model inputs'!AI115),1)),DATE(2026,11,1)&lt;DATE(YEAR('Model inputs'!AI115),MONTH('Model inputs'!AI115),1),IF(DATE(YEAR('Model inputs'!AI115),MONTH('Model inputs'!AI115),1)="","",DATE(2026,11,1)&lt;DATE(YEAR('Model inputs'!AI115),MONTH('Model inputs'!AI115),1)))="",FALSE,IF(ISERROR(DATE(2026,11,1)&lt;DATE(YEAR('Model inputs'!AI115),MONTH('Model inputs'!AI115),1)),DATE(2026,11,1)&lt;DATE(YEAR('Model inputs'!AI115),MONTH('Model inputs'!AI115),1),IF(DATE(YEAR('Model inputs'!AI115),MONTH('Model inputs'!AI115),1)="","",DATE(2026,11,1)&lt;DATE(YEAR('Model inputs'!AI115),MONTH('Model inputs'!AI115),1)))),0,IFERROR(DATEDIF(DATE(YEAR('Model inputs'!AI115),MONTH('Model inputs'!AI115),1),DATE(2026,11,1),"M"),0)+1)</f>
        <v>1</v>
      </c>
      <c r="M63" s="8">
        <f>IF(IF(IF(ISERROR(DATE(2026,12,1)&lt;DATE(YEAR('Model inputs'!AI115),MONTH('Model inputs'!AI115),1)),DATE(2026,12,1)&lt;DATE(YEAR('Model inputs'!AI115),MONTH('Model inputs'!AI115),1),IF(DATE(YEAR('Model inputs'!AI115),MONTH('Model inputs'!AI115),1)="","",DATE(2026,12,1)&lt;DATE(YEAR('Model inputs'!AI115),MONTH('Model inputs'!AI115),1)))="",FALSE,IF(ISERROR(DATE(2026,12,1)&lt;DATE(YEAR('Model inputs'!AI115),MONTH('Model inputs'!AI115),1)),DATE(2026,12,1)&lt;DATE(YEAR('Model inputs'!AI115),MONTH('Model inputs'!AI115),1),IF(DATE(YEAR('Model inputs'!AI115),MONTH('Model inputs'!AI115),1)="","",DATE(2026,12,1)&lt;DATE(YEAR('Model inputs'!AI115),MONTH('Model inputs'!AI115),1)))),0,IFERROR(DATEDIF(DATE(YEAR('Model inputs'!AI115),MONTH('Model inputs'!AI115),1),DATE(2026,12,1),"M"),0)+1)</f>
        <v>2</v>
      </c>
      <c r="N63" s="8">
        <f>IF(IF(IF(ISERROR(DATE(2027,1,1)&lt;DATE(YEAR('Model inputs'!AI115),MONTH('Model inputs'!AI115),1)),DATE(2027,1,1)&lt;DATE(YEAR('Model inputs'!AI115),MONTH('Model inputs'!AI115),1),IF(DATE(YEAR('Model inputs'!AI115),MONTH('Model inputs'!AI115),1)="","",DATE(2027,1,1)&lt;DATE(YEAR('Model inputs'!AI115),MONTH('Model inputs'!AI115),1)))="",FALSE,IF(ISERROR(DATE(2027,1,1)&lt;DATE(YEAR('Model inputs'!AI115),MONTH('Model inputs'!AI115),1)),DATE(2027,1,1)&lt;DATE(YEAR('Model inputs'!AI115),MONTH('Model inputs'!AI115),1),IF(DATE(YEAR('Model inputs'!AI115),MONTH('Model inputs'!AI115),1)="","",DATE(2027,1,1)&lt;DATE(YEAR('Model inputs'!AI115),MONTH('Model inputs'!AI115),1)))),0,IFERROR(DATEDIF(DATE(YEAR('Model inputs'!AI115),MONTH('Model inputs'!AI115),1),DATE(2027,1,1),"M"),0)+1)</f>
        <v>3</v>
      </c>
      <c r="O63" s="8">
        <f>IF(IF(IF(ISERROR(DATE(2027,2,1)&lt;DATE(YEAR('Model inputs'!AI115),MONTH('Model inputs'!AI115),1)),DATE(2027,2,1)&lt;DATE(YEAR('Model inputs'!AI115),MONTH('Model inputs'!AI115),1),IF(DATE(YEAR('Model inputs'!AI115),MONTH('Model inputs'!AI115),1)="","",DATE(2027,2,1)&lt;DATE(YEAR('Model inputs'!AI115),MONTH('Model inputs'!AI115),1)))="",FALSE,IF(ISERROR(DATE(2027,2,1)&lt;DATE(YEAR('Model inputs'!AI115),MONTH('Model inputs'!AI115),1)),DATE(2027,2,1)&lt;DATE(YEAR('Model inputs'!AI115),MONTH('Model inputs'!AI115),1),IF(DATE(YEAR('Model inputs'!AI115),MONTH('Model inputs'!AI115),1)="","",DATE(2027,2,1)&lt;DATE(YEAR('Model inputs'!AI115),MONTH('Model inputs'!AI115),1)))),0,IFERROR(DATEDIF(DATE(YEAR('Model inputs'!AI115),MONTH('Model inputs'!AI115),1),DATE(2027,2,1),"M"),0)+1)</f>
        <v>4</v>
      </c>
      <c r="P63" s="8">
        <f>IF(IF(IF(ISERROR(DATE(2027,3,1)&lt;DATE(YEAR('Model inputs'!AI115),MONTH('Model inputs'!AI115),1)),DATE(2027,3,1)&lt;DATE(YEAR('Model inputs'!AI115),MONTH('Model inputs'!AI115),1),IF(DATE(YEAR('Model inputs'!AI115),MONTH('Model inputs'!AI115),1)="","",DATE(2027,3,1)&lt;DATE(YEAR('Model inputs'!AI115),MONTH('Model inputs'!AI115),1)))="",FALSE,IF(ISERROR(DATE(2027,3,1)&lt;DATE(YEAR('Model inputs'!AI115),MONTH('Model inputs'!AI115),1)),DATE(2027,3,1)&lt;DATE(YEAR('Model inputs'!AI115),MONTH('Model inputs'!AI115),1),IF(DATE(YEAR('Model inputs'!AI115),MONTH('Model inputs'!AI115),1)="","",DATE(2027,3,1)&lt;DATE(YEAR('Model inputs'!AI115),MONTH('Model inputs'!AI115),1)))),0,IFERROR(DATEDIF(DATE(YEAR('Model inputs'!AI115),MONTH('Model inputs'!AI115),1),DATE(2027,3,1),"M"),0)+1)</f>
        <v>5</v>
      </c>
      <c r="Q63" s="8">
        <f>IF(IF(IF(ISERROR(DATE(2027,4,1)&lt;DATE(YEAR('Model inputs'!AI115),MONTH('Model inputs'!AI115),1)),DATE(2027,4,1)&lt;DATE(YEAR('Model inputs'!AI115),MONTH('Model inputs'!AI115),1),IF(DATE(YEAR('Model inputs'!AI115),MONTH('Model inputs'!AI115),1)="","",DATE(2027,4,1)&lt;DATE(YEAR('Model inputs'!AI115),MONTH('Model inputs'!AI115),1)))="",FALSE,IF(ISERROR(DATE(2027,4,1)&lt;DATE(YEAR('Model inputs'!AI115),MONTH('Model inputs'!AI115),1)),DATE(2027,4,1)&lt;DATE(YEAR('Model inputs'!AI115),MONTH('Model inputs'!AI115),1),IF(DATE(YEAR('Model inputs'!AI115),MONTH('Model inputs'!AI115),1)="","",DATE(2027,4,1)&lt;DATE(YEAR('Model inputs'!AI115),MONTH('Model inputs'!AI115),1)))),0,IFERROR(DATEDIF(DATE(YEAR('Model inputs'!AI115),MONTH('Model inputs'!AI115),1),DATE(2027,4,1),"M"),0)+1)</f>
        <v>6</v>
      </c>
      <c r="R63" s="8">
        <f>IF(IF(IF(ISERROR(DATE(2027,5,1)&lt;DATE(YEAR('Model inputs'!AI115),MONTH('Model inputs'!AI115),1)),DATE(2027,5,1)&lt;DATE(YEAR('Model inputs'!AI115),MONTH('Model inputs'!AI115),1),IF(DATE(YEAR('Model inputs'!AI115),MONTH('Model inputs'!AI115),1)="","",DATE(2027,5,1)&lt;DATE(YEAR('Model inputs'!AI115),MONTH('Model inputs'!AI115),1)))="",FALSE,IF(ISERROR(DATE(2027,5,1)&lt;DATE(YEAR('Model inputs'!AI115),MONTH('Model inputs'!AI115),1)),DATE(2027,5,1)&lt;DATE(YEAR('Model inputs'!AI115),MONTH('Model inputs'!AI115),1),IF(DATE(YEAR('Model inputs'!AI115),MONTH('Model inputs'!AI115),1)="","",DATE(2027,5,1)&lt;DATE(YEAR('Model inputs'!AI115),MONTH('Model inputs'!AI115),1)))),0,IFERROR(DATEDIF(DATE(YEAR('Model inputs'!AI115),MONTH('Model inputs'!AI115),1),DATE(2027,5,1),"M"),0)+1)</f>
        <v>7</v>
      </c>
      <c r="S63" s="8">
        <f>IF(IF(IF(ISERROR(DATE(2027,6,1)&lt;DATE(YEAR('Model inputs'!AI115),MONTH('Model inputs'!AI115),1)),DATE(2027,6,1)&lt;DATE(YEAR('Model inputs'!AI115),MONTH('Model inputs'!AI115),1),IF(DATE(YEAR('Model inputs'!AI115),MONTH('Model inputs'!AI115),1)="","",DATE(2027,6,1)&lt;DATE(YEAR('Model inputs'!AI115),MONTH('Model inputs'!AI115),1)))="",FALSE,IF(ISERROR(DATE(2027,6,1)&lt;DATE(YEAR('Model inputs'!AI115),MONTH('Model inputs'!AI115),1)),DATE(2027,6,1)&lt;DATE(YEAR('Model inputs'!AI115),MONTH('Model inputs'!AI115),1),IF(DATE(YEAR('Model inputs'!AI115),MONTH('Model inputs'!AI115),1)="","",DATE(2027,6,1)&lt;DATE(YEAR('Model inputs'!AI115),MONTH('Model inputs'!AI115),1)))),0,IFERROR(DATEDIF(DATE(YEAR('Model inputs'!AI115),MONTH('Model inputs'!AI115),1),DATE(2027,6,1),"M"),0)+1)</f>
        <v>8</v>
      </c>
      <c r="T63" s="8">
        <f>IF(IF(IF(ISERROR(DATE(2027,7,1)&lt;DATE(YEAR('Model inputs'!AI115),MONTH('Model inputs'!AI115),1)),DATE(2027,7,1)&lt;DATE(YEAR('Model inputs'!AI115),MONTH('Model inputs'!AI115),1),IF(DATE(YEAR('Model inputs'!AI115),MONTH('Model inputs'!AI115),1)="","",DATE(2027,7,1)&lt;DATE(YEAR('Model inputs'!AI115),MONTH('Model inputs'!AI115),1)))="",FALSE,IF(ISERROR(DATE(2027,7,1)&lt;DATE(YEAR('Model inputs'!AI115),MONTH('Model inputs'!AI115),1)),DATE(2027,7,1)&lt;DATE(YEAR('Model inputs'!AI115),MONTH('Model inputs'!AI115),1),IF(DATE(YEAR('Model inputs'!AI115),MONTH('Model inputs'!AI115),1)="","",DATE(2027,7,1)&lt;DATE(YEAR('Model inputs'!AI115),MONTH('Model inputs'!AI115),1)))),0,IFERROR(DATEDIF(DATE(YEAR('Model inputs'!AI115),MONTH('Model inputs'!AI115),1),DATE(2027,7,1),"M"),0)+1)</f>
        <v>9</v>
      </c>
      <c r="U63" s="8">
        <f>IF(IF(IF(ISERROR(DATE(2027,8,1)&lt;DATE(YEAR('Model inputs'!AI115),MONTH('Model inputs'!AI115),1)),DATE(2027,8,1)&lt;DATE(YEAR('Model inputs'!AI115),MONTH('Model inputs'!AI115),1),IF(DATE(YEAR('Model inputs'!AI115),MONTH('Model inputs'!AI115),1)="","",DATE(2027,8,1)&lt;DATE(YEAR('Model inputs'!AI115),MONTH('Model inputs'!AI115),1)))="",FALSE,IF(ISERROR(DATE(2027,8,1)&lt;DATE(YEAR('Model inputs'!AI115),MONTH('Model inputs'!AI115),1)),DATE(2027,8,1)&lt;DATE(YEAR('Model inputs'!AI115),MONTH('Model inputs'!AI115),1),IF(DATE(YEAR('Model inputs'!AI115),MONTH('Model inputs'!AI115),1)="","",DATE(2027,8,1)&lt;DATE(YEAR('Model inputs'!AI115),MONTH('Model inputs'!AI115),1)))),0,IFERROR(DATEDIF(DATE(YEAR('Model inputs'!AI115),MONTH('Model inputs'!AI115),1),DATE(2027,8,1),"M"),0)+1)</f>
        <v>10</v>
      </c>
      <c r="V63" s="8">
        <f>IF(IF(IF(ISERROR(DATE(2027,9,1)&lt;DATE(YEAR('Model inputs'!AI115),MONTH('Model inputs'!AI115),1)),DATE(2027,9,1)&lt;DATE(YEAR('Model inputs'!AI115),MONTH('Model inputs'!AI115),1),IF(DATE(YEAR('Model inputs'!AI115),MONTH('Model inputs'!AI115),1)="","",DATE(2027,9,1)&lt;DATE(YEAR('Model inputs'!AI115),MONTH('Model inputs'!AI115),1)))="",FALSE,IF(ISERROR(DATE(2027,9,1)&lt;DATE(YEAR('Model inputs'!AI115),MONTH('Model inputs'!AI115),1)),DATE(2027,9,1)&lt;DATE(YEAR('Model inputs'!AI115),MONTH('Model inputs'!AI115),1),IF(DATE(YEAR('Model inputs'!AI115),MONTH('Model inputs'!AI115),1)="","",DATE(2027,9,1)&lt;DATE(YEAR('Model inputs'!AI115),MONTH('Model inputs'!AI115),1)))),0,IFERROR(DATEDIF(DATE(YEAR('Model inputs'!AI115),MONTH('Model inputs'!AI115),1),DATE(2027,9,1),"M"),0)+1)</f>
        <v>11</v>
      </c>
      <c r="W63" s="8">
        <f>IF(IF(IF(ISERROR(DATE(2027,10,1)&lt;DATE(YEAR('Model inputs'!AI115),MONTH('Model inputs'!AI115),1)),DATE(2027,10,1)&lt;DATE(YEAR('Model inputs'!AI115),MONTH('Model inputs'!AI115),1),IF(DATE(YEAR('Model inputs'!AI115),MONTH('Model inputs'!AI115),1)="","",DATE(2027,10,1)&lt;DATE(YEAR('Model inputs'!AI115),MONTH('Model inputs'!AI115),1)))="",FALSE,IF(ISERROR(DATE(2027,10,1)&lt;DATE(YEAR('Model inputs'!AI115),MONTH('Model inputs'!AI115),1)),DATE(2027,10,1)&lt;DATE(YEAR('Model inputs'!AI115),MONTH('Model inputs'!AI115),1),IF(DATE(YEAR('Model inputs'!AI115),MONTH('Model inputs'!AI115),1)="","",DATE(2027,10,1)&lt;DATE(YEAR('Model inputs'!AI115),MONTH('Model inputs'!AI115),1)))),0,IFERROR(DATEDIF(DATE(YEAR('Model inputs'!AI115),MONTH('Model inputs'!AI115),1),DATE(2027,10,1),"M"),0)+1)</f>
        <v>12</v>
      </c>
      <c r="X63" s="8">
        <f>IF(IF(IF(ISERROR(DATE(2027,11,1)&lt;DATE(YEAR('Model inputs'!AI115),MONTH('Model inputs'!AI115),1)),DATE(2027,11,1)&lt;DATE(YEAR('Model inputs'!AI115),MONTH('Model inputs'!AI115),1),IF(DATE(YEAR('Model inputs'!AI115),MONTH('Model inputs'!AI115),1)="","",DATE(2027,11,1)&lt;DATE(YEAR('Model inputs'!AI115),MONTH('Model inputs'!AI115),1)))="",FALSE,IF(ISERROR(DATE(2027,11,1)&lt;DATE(YEAR('Model inputs'!AI115),MONTH('Model inputs'!AI115),1)),DATE(2027,11,1)&lt;DATE(YEAR('Model inputs'!AI115),MONTH('Model inputs'!AI115),1),IF(DATE(YEAR('Model inputs'!AI115),MONTH('Model inputs'!AI115),1)="","",DATE(2027,11,1)&lt;DATE(YEAR('Model inputs'!AI115),MONTH('Model inputs'!AI115),1)))),0,IFERROR(DATEDIF(DATE(YEAR('Model inputs'!AI115),MONTH('Model inputs'!AI115),1),DATE(2027,11,1),"M"),0)+1)</f>
        <v>13</v>
      </c>
      <c r="Y63" s="8">
        <f>IF(IF(IF(ISERROR(DATE(2027,12,1)&lt;DATE(YEAR('Model inputs'!AI115),MONTH('Model inputs'!AI115),1)),DATE(2027,12,1)&lt;DATE(YEAR('Model inputs'!AI115),MONTH('Model inputs'!AI115),1),IF(DATE(YEAR('Model inputs'!AI115),MONTH('Model inputs'!AI115),1)="","",DATE(2027,12,1)&lt;DATE(YEAR('Model inputs'!AI115),MONTH('Model inputs'!AI115),1)))="",FALSE,IF(ISERROR(DATE(2027,12,1)&lt;DATE(YEAR('Model inputs'!AI115),MONTH('Model inputs'!AI115),1)),DATE(2027,12,1)&lt;DATE(YEAR('Model inputs'!AI115),MONTH('Model inputs'!AI115),1),IF(DATE(YEAR('Model inputs'!AI115),MONTH('Model inputs'!AI115),1)="","",DATE(2027,12,1)&lt;DATE(YEAR('Model inputs'!AI115),MONTH('Model inputs'!AI115),1)))),0,IFERROR(DATEDIF(DATE(YEAR('Model inputs'!AI115),MONTH('Model inputs'!AI115),1),DATE(2027,12,1),"M"),0)+1)</f>
        <v>14</v>
      </c>
      <c r="Z63" s="8">
        <f>IF(IF(IF(ISERROR(DATE(2028,1,1)&lt;DATE(YEAR('Model inputs'!AI115),MONTH('Model inputs'!AI115),1)),DATE(2028,1,1)&lt;DATE(YEAR('Model inputs'!AI115),MONTH('Model inputs'!AI115),1),IF(DATE(YEAR('Model inputs'!AI115),MONTH('Model inputs'!AI115),1)="","",DATE(2028,1,1)&lt;DATE(YEAR('Model inputs'!AI115),MONTH('Model inputs'!AI115),1)))="",FALSE,IF(ISERROR(DATE(2028,1,1)&lt;DATE(YEAR('Model inputs'!AI115),MONTH('Model inputs'!AI115),1)),DATE(2028,1,1)&lt;DATE(YEAR('Model inputs'!AI115),MONTH('Model inputs'!AI115),1),IF(DATE(YEAR('Model inputs'!AI115),MONTH('Model inputs'!AI115),1)="","",DATE(2028,1,1)&lt;DATE(YEAR('Model inputs'!AI115),MONTH('Model inputs'!AI115),1)))),0,IFERROR(DATEDIF(DATE(YEAR('Model inputs'!AI115),MONTH('Model inputs'!AI115),1),DATE(2028,1,1),"M"),0)+1)</f>
        <v>15</v>
      </c>
      <c r="AA63" s="8">
        <f>IF(IF(IF(ISERROR(DATE(2028,2,1)&lt;DATE(YEAR('Model inputs'!AI115),MONTH('Model inputs'!AI115),1)),DATE(2028,2,1)&lt;DATE(YEAR('Model inputs'!AI115),MONTH('Model inputs'!AI115),1),IF(DATE(YEAR('Model inputs'!AI115),MONTH('Model inputs'!AI115),1)="","",DATE(2028,2,1)&lt;DATE(YEAR('Model inputs'!AI115),MONTH('Model inputs'!AI115),1)))="",FALSE,IF(ISERROR(DATE(2028,2,1)&lt;DATE(YEAR('Model inputs'!AI115),MONTH('Model inputs'!AI115),1)),DATE(2028,2,1)&lt;DATE(YEAR('Model inputs'!AI115),MONTH('Model inputs'!AI115),1),IF(DATE(YEAR('Model inputs'!AI115),MONTH('Model inputs'!AI115),1)="","",DATE(2028,2,1)&lt;DATE(YEAR('Model inputs'!AI115),MONTH('Model inputs'!AI115),1)))),0,IFERROR(DATEDIF(DATE(YEAR('Model inputs'!AI115),MONTH('Model inputs'!AI115),1),DATE(2028,2,1),"M"),0)+1)</f>
        <v>16</v>
      </c>
      <c r="AB63" s="8">
        <f>IF(IF(IF(ISERROR(DATE(2028,3,1)&lt;DATE(YEAR('Model inputs'!AI115),MONTH('Model inputs'!AI115),1)),DATE(2028,3,1)&lt;DATE(YEAR('Model inputs'!AI115),MONTH('Model inputs'!AI115),1),IF(DATE(YEAR('Model inputs'!AI115),MONTH('Model inputs'!AI115),1)="","",DATE(2028,3,1)&lt;DATE(YEAR('Model inputs'!AI115),MONTH('Model inputs'!AI115),1)))="",FALSE,IF(ISERROR(DATE(2028,3,1)&lt;DATE(YEAR('Model inputs'!AI115),MONTH('Model inputs'!AI115),1)),DATE(2028,3,1)&lt;DATE(YEAR('Model inputs'!AI115),MONTH('Model inputs'!AI115),1),IF(DATE(YEAR('Model inputs'!AI115),MONTH('Model inputs'!AI115),1)="","",DATE(2028,3,1)&lt;DATE(YEAR('Model inputs'!AI115),MONTH('Model inputs'!AI115),1)))),0,IFERROR(DATEDIF(DATE(YEAR('Model inputs'!AI115),MONTH('Model inputs'!AI115),1),DATE(2028,3,1),"M"),0)+1)</f>
        <v>17</v>
      </c>
      <c r="AC63" s="8">
        <f>IF(IF(IF(ISERROR(DATE(2028,4,1)&lt;DATE(YEAR('Model inputs'!AI115),MONTH('Model inputs'!AI115),1)),DATE(2028,4,1)&lt;DATE(YEAR('Model inputs'!AI115),MONTH('Model inputs'!AI115),1),IF(DATE(YEAR('Model inputs'!AI115),MONTH('Model inputs'!AI115),1)="","",DATE(2028,4,1)&lt;DATE(YEAR('Model inputs'!AI115),MONTH('Model inputs'!AI115),1)))="",FALSE,IF(ISERROR(DATE(2028,4,1)&lt;DATE(YEAR('Model inputs'!AI115),MONTH('Model inputs'!AI115),1)),DATE(2028,4,1)&lt;DATE(YEAR('Model inputs'!AI115),MONTH('Model inputs'!AI115),1),IF(DATE(YEAR('Model inputs'!AI115),MONTH('Model inputs'!AI115),1)="","",DATE(2028,4,1)&lt;DATE(YEAR('Model inputs'!AI115),MONTH('Model inputs'!AI115),1)))),0,IFERROR(DATEDIF(DATE(YEAR('Model inputs'!AI115),MONTH('Model inputs'!AI115),1),DATE(2028,4,1),"M"),0)+1)</f>
        <v>18</v>
      </c>
      <c r="AD63" s="8">
        <f>IF(IF(IF(ISERROR(DATE(2028,5,1)&lt;DATE(YEAR('Model inputs'!AI115),MONTH('Model inputs'!AI115),1)),DATE(2028,5,1)&lt;DATE(YEAR('Model inputs'!AI115),MONTH('Model inputs'!AI115),1),IF(DATE(YEAR('Model inputs'!AI115),MONTH('Model inputs'!AI115),1)="","",DATE(2028,5,1)&lt;DATE(YEAR('Model inputs'!AI115),MONTH('Model inputs'!AI115),1)))="",FALSE,IF(ISERROR(DATE(2028,5,1)&lt;DATE(YEAR('Model inputs'!AI115),MONTH('Model inputs'!AI115),1)),DATE(2028,5,1)&lt;DATE(YEAR('Model inputs'!AI115),MONTH('Model inputs'!AI115),1),IF(DATE(YEAR('Model inputs'!AI115),MONTH('Model inputs'!AI115),1)="","",DATE(2028,5,1)&lt;DATE(YEAR('Model inputs'!AI115),MONTH('Model inputs'!AI115),1)))),0,IFERROR(DATEDIF(DATE(YEAR('Model inputs'!AI115),MONTH('Model inputs'!AI115),1),DATE(2028,5,1),"M"),0)+1)</f>
        <v>19</v>
      </c>
      <c r="AE63" s="8">
        <f>IF(IF(IF(ISERROR(DATE(2028,6,1)&lt;DATE(YEAR('Model inputs'!AI115),MONTH('Model inputs'!AI115),1)),DATE(2028,6,1)&lt;DATE(YEAR('Model inputs'!AI115),MONTH('Model inputs'!AI115),1),IF(DATE(YEAR('Model inputs'!AI115),MONTH('Model inputs'!AI115),1)="","",DATE(2028,6,1)&lt;DATE(YEAR('Model inputs'!AI115),MONTH('Model inputs'!AI115),1)))="",FALSE,IF(ISERROR(DATE(2028,6,1)&lt;DATE(YEAR('Model inputs'!AI115),MONTH('Model inputs'!AI115),1)),DATE(2028,6,1)&lt;DATE(YEAR('Model inputs'!AI115),MONTH('Model inputs'!AI115),1),IF(DATE(YEAR('Model inputs'!AI115),MONTH('Model inputs'!AI115),1)="","",DATE(2028,6,1)&lt;DATE(YEAR('Model inputs'!AI115),MONTH('Model inputs'!AI115),1)))),0,IFERROR(DATEDIF(DATE(YEAR('Model inputs'!AI115),MONTH('Model inputs'!AI115),1),DATE(2028,6,1),"M"),0)+1)</f>
        <v>20</v>
      </c>
      <c r="AF63" s="8">
        <f>IF(IF(IF(ISERROR(DATE(2028,7,1)&lt;DATE(YEAR('Model inputs'!AI115),MONTH('Model inputs'!AI115),1)),DATE(2028,7,1)&lt;DATE(YEAR('Model inputs'!AI115),MONTH('Model inputs'!AI115),1),IF(DATE(YEAR('Model inputs'!AI115),MONTH('Model inputs'!AI115),1)="","",DATE(2028,7,1)&lt;DATE(YEAR('Model inputs'!AI115),MONTH('Model inputs'!AI115),1)))="",FALSE,IF(ISERROR(DATE(2028,7,1)&lt;DATE(YEAR('Model inputs'!AI115),MONTH('Model inputs'!AI115),1)),DATE(2028,7,1)&lt;DATE(YEAR('Model inputs'!AI115),MONTH('Model inputs'!AI115),1),IF(DATE(YEAR('Model inputs'!AI115),MONTH('Model inputs'!AI115),1)="","",DATE(2028,7,1)&lt;DATE(YEAR('Model inputs'!AI115),MONTH('Model inputs'!AI115),1)))),0,IFERROR(DATEDIF(DATE(YEAR('Model inputs'!AI115),MONTH('Model inputs'!AI115),1),DATE(2028,7,1),"M"),0)+1)</f>
        <v>21</v>
      </c>
      <c r="AG63" s="8">
        <f>IF(IF(IF(ISERROR(DATE(2028,8,1)&lt;DATE(YEAR('Model inputs'!AI115),MONTH('Model inputs'!AI115),1)),DATE(2028,8,1)&lt;DATE(YEAR('Model inputs'!AI115),MONTH('Model inputs'!AI115),1),IF(DATE(YEAR('Model inputs'!AI115),MONTH('Model inputs'!AI115),1)="","",DATE(2028,8,1)&lt;DATE(YEAR('Model inputs'!AI115),MONTH('Model inputs'!AI115),1)))="",FALSE,IF(ISERROR(DATE(2028,8,1)&lt;DATE(YEAR('Model inputs'!AI115),MONTH('Model inputs'!AI115),1)),DATE(2028,8,1)&lt;DATE(YEAR('Model inputs'!AI115),MONTH('Model inputs'!AI115),1),IF(DATE(YEAR('Model inputs'!AI115),MONTH('Model inputs'!AI115),1)="","",DATE(2028,8,1)&lt;DATE(YEAR('Model inputs'!AI115),MONTH('Model inputs'!AI115),1)))),0,IFERROR(DATEDIF(DATE(YEAR('Model inputs'!AI115),MONTH('Model inputs'!AI115),1),DATE(2028,8,1),"M"),0)+1)</f>
        <v>22</v>
      </c>
      <c r="AH63" s="8">
        <f>IF(IF(IF(ISERROR(DATE(2028,9,1)&lt;DATE(YEAR('Model inputs'!AI115),MONTH('Model inputs'!AI115),1)),DATE(2028,9,1)&lt;DATE(YEAR('Model inputs'!AI115),MONTH('Model inputs'!AI115),1),IF(DATE(YEAR('Model inputs'!AI115),MONTH('Model inputs'!AI115),1)="","",DATE(2028,9,1)&lt;DATE(YEAR('Model inputs'!AI115),MONTH('Model inputs'!AI115),1)))="",FALSE,IF(ISERROR(DATE(2028,9,1)&lt;DATE(YEAR('Model inputs'!AI115),MONTH('Model inputs'!AI115),1)),DATE(2028,9,1)&lt;DATE(YEAR('Model inputs'!AI115),MONTH('Model inputs'!AI115),1),IF(DATE(YEAR('Model inputs'!AI115),MONTH('Model inputs'!AI115),1)="","",DATE(2028,9,1)&lt;DATE(YEAR('Model inputs'!AI115),MONTH('Model inputs'!AI115),1)))),0,IFERROR(DATEDIF(DATE(YEAR('Model inputs'!AI115),MONTH('Model inputs'!AI115),1),DATE(2028,9,1),"M"),0)+1)</f>
        <v>23</v>
      </c>
    </row>
    <row r="64">
      <c r="A64" t="inlineStr" s="11">
        <is>
          <t xml:space="preserve">Months since launch · Base · $0.60</t>
        </is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f>IF(IF(IF(ISERROR(DATE(2026,10,1)&lt;DATE(YEAR('Model inputs'!AI116),MONTH('Model inputs'!AI116),1)),DATE(2026,10,1)&lt;DATE(YEAR('Model inputs'!AI116),MONTH('Model inputs'!AI116),1),IF(DATE(YEAR('Model inputs'!AI116),MONTH('Model inputs'!AI116),1)="","",DATE(2026,10,1)&lt;DATE(YEAR('Model inputs'!AI116),MONTH('Model inputs'!AI116),1)))="",FALSE,IF(ISERROR(DATE(2026,10,1)&lt;DATE(YEAR('Model inputs'!AI116),MONTH('Model inputs'!AI116),1)),DATE(2026,10,1)&lt;DATE(YEAR('Model inputs'!AI116),MONTH('Model inputs'!AI116),1),IF(DATE(YEAR('Model inputs'!AI116),MONTH('Model inputs'!AI116),1)="","",DATE(2026,10,1)&lt;DATE(YEAR('Model inputs'!AI116),MONTH('Model inputs'!AI116),1)))),0,IFERROR(DATEDIF(DATE(YEAR('Model inputs'!AI116),MONTH('Model inputs'!AI116),1),DATE(2026,10,1),"M"),0)+1)</f>
        <v>0</v>
      </c>
      <c r="L64" s="8">
        <f>IF(IF(IF(ISERROR(DATE(2026,11,1)&lt;DATE(YEAR('Model inputs'!AI116),MONTH('Model inputs'!AI116),1)),DATE(2026,11,1)&lt;DATE(YEAR('Model inputs'!AI116),MONTH('Model inputs'!AI116),1),IF(DATE(YEAR('Model inputs'!AI116),MONTH('Model inputs'!AI116),1)="","",DATE(2026,11,1)&lt;DATE(YEAR('Model inputs'!AI116),MONTH('Model inputs'!AI116),1)))="",FALSE,IF(ISERROR(DATE(2026,11,1)&lt;DATE(YEAR('Model inputs'!AI116),MONTH('Model inputs'!AI116),1)),DATE(2026,11,1)&lt;DATE(YEAR('Model inputs'!AI116),MONTH('Model inputs'!AI116),1),IF(DATE(YEAR('Model inputs'!AI116),MONTH('Model inputs'!AI116),1)="","",DATE(2026,11,1)&lt;DATE(YEAR('Model inputs'!AI116),MONTH('Model inputs'!AI116),1)))),0,IFERROR(DATEDIF(DATE(YEAR('Model inputs'!AI116),MONTH('Model inputs'!AI116),1),DATE(2026,11,1),"M"),0)+1)</f>
        <v>1</v>
      </c>
      <c r="M64" s="8">
        <f>IF(IF(IF(ISERROR(DATE(2026,12,1)&lt;DATE(YEAR('Model inputs'!AI116),MONTH('Model inputs'!AI116),1)),DATE(2026,12,1)&lt;DATE(YEAR('Model inputs'!AI116),MONTH('Model inputs'!AI116),1),IF(DATE(YEAR('Model inputs'!AI116),MONTH('Model inputs'!AI116),1)="","",DATE(2026,12,1)&lt;DATE(YEAR('Model inputs'!AI116),MONTH('Model inputs'!AI116),1)))="",FALSE,IF(ISERROR(DATE(2026,12,1)&lt;DATE(YEAR('Model inputs'!AI116),MONTH('Model inputs'!AI116),1)),DATE(2026,12,1)&lt;DATE(YEAR('Model inputs'!AI116),MONTH('Model inputs'!AI116),1),IF(DATE(YEAR('Model inputs'!AI116),MONTH('Model inputs'!AI116),1)="","",DATE(2026,12,1)&lt;DATE(YEAR('Model inputs'!AI116),MONTH('Model inputs'!AI116),1)))),0,IFERROR(DATEDIF(DATE(YEAR('Model inputs'!AI116),MONTH('Model inputs'!AI116),1),DATE(2026,12,1),"M"),0)+1)</f>
        <v>2</v>
      </c>
      <c r="N64" s="8">
        <f>IF(IF(IF(ISERROR(DATE(2027,1,1)&lt;DATE(YEAR('Model inputs'!AI116),MONTH('Model inputs'!AI116),1)),DATE(2027,1,1)&lt;DATE(YEAR('Model inputs'!AI116),MONTH('Model inputs'!AI116),1),IF(DATE(YEAR('Model inputs'!AI116),MONTH('Model inputs'!AI116),1)="","",DATE(2027,1,1)&lt;DATE(YEAR('Model inputs'!AI116),MONTH('Model inputs'!AI116),1)))="",FALSE,IF(ISERROR(DATE(2027,1,1)&lt;DATE(YEAR('Model inputs'!AI116),MONTH('Model inputs'!AI116),1)),DATE(2027,1,1)&lt;DATE(YEAR('Model inputs'!AI116),MONTH('Model inputs'!AI116),1),IF(DATE(YEAR('Model inputs'!AI116),MONTH('Model inputs'!AI116),1)="","",DATE(2027,1,1)&lt;DATE(YEAR('Model inputs'!AI116),MONTH('Model inputs'!AI116),1)))),0,IFERROR(DATEDIF(DATE(YEAR('Model inputs'!AI116),MONTH('Model inputs'!AI116),1),DATE(2027,1,1),"M"),0)+1)</f>
        <v>3</v>
      </c>
      <c r="O64" s="8">
        <f>IF(IF(IF(ISERROR(DATE(2027,2,1)&lt;DATE(YEAR('Model inputs'!AI116),MONTH('Model inputs'!AI116),1)),DATE(2027,2,1)&lt;DATE(YEAR('Model inputs'!AI116),MONTH('Model inputs'!AI116),1),IF(DATE(YEAR('Model inputs'!AI116),MONTH('Model inputs'!AI116),1)="","",DATE(2027,2,1)&lt;DATE(YEAR('Model inputs'!AI116),MONTH('Model inputs'!AI116),1)))="",FALSE,IF(ISERROR(DATE(2027,2,1)&lt;DATE(YEAR('Model inputs'!AI116),MONTH('Model inputs'!AI116),1)),DATE(2027,2,1)&lt;DATE(YEAR('Model inputs'!AI116),MONTH('Model inputs'!AI116),1),IF(DATE(YEAR('Model inputs'!AI116),MONTH('Model inputs'!AI116),1)="","",DATE(2027,2,1)&lt;DATE(YEAR('Model inputs'!AI116),MONTH('Model inputs'!AI116),1)))),0,IFERROR(DATEDIF(DATE(YEAR('Model inputs'!AI116),MONTH('Model inputs'!AI116),1),DATE(2027,2,1),"M"),0)+1)</f>
        <v>4</v>
      </c>
      <c r="P64" s="8">
        <f>IF(IF(IF(ISERROR(DATE(2027,3,1)&lt;DATE(YEAR('Model inputs'!AI116),MONTH('Model inputs'!AI116),1)),DATE(2027,3,1)&lt;DATE(YEAR('Model inputs'!AI116),MONTH('Model inputs'!AI116),1),IF(DATE(YEAR('Model inputs'!AI116),MONTH('Model inputs'!AI116),1)="","",DATE(2027,3,1)&lt;DATE(YEAR('Model inputs'!AI116),MONTH('Model inputs'!AI116),1)))="",FALSE,IF(ISERROR(DATE(2027,3,1)&lt;DATE(YEAR('Model inputs'!AI116),MONTH('Model inputs'!AI116),1)),DATE(2027,3,1)&lt;DATE(YEAR('Model inputs'!AI116),MONTH('Model inputs'!AI116),1),IF(DATE(YEAR('Model inputs'!AI116),MONTH('Model inputs'!AI116),1)="","",DATE(2027,3,1)&lt;DATE(YEAR('Model inputs'!AI116),MONTH('Model inputs'!AI116),1)))),0,IFERROR(DATEDIF(DATE(YEAR('Model inputs'!AI116),MONTH('Model inputs'!AI116),1),DATE(2027,3,1),"M"),0)+1)</f>
        <v>5</v>
      </c>
      <c r="Q64" s="8">
        <f>IF(IF(IF(ISERROR(DATE(2027,4,1)&lt;DATE(YEAR('Model inputs'!AI116),MONTH('Model inputs'!AI116),1)),DATE(2027,4,1)&lt;DATE(YEAR('Model inputs'!AI116),MONTH('Model inputs'!AI116),1),IF(DATE(YEAR('Model inputs'!AI116),MONTH('Model inputs'!AI116),1)="","",DATE(2027,4,1)&lt;DATE(YEAR('Model inputs'!AI116),MONTH('Model inputs'!AI116),1)))="",FALSE,IF(ISERROR(DATE(2027,4,1)&lt;DATE(YEAR('Model inputs'!AI116),MONTH('Model inputs'!AI116),1)),DATE(2027,4,1)&lt;DATE(YEAR('Model inputs'!AI116),MONTH('Model inputs'!AI116),1),IF(DATE(YEAR('Model inputs'!AI116),MONTH('Model inputs'!AI116),1)="","",DATE(2027,4,1)&lt;DATE(YEAR('Model inputs'!AI116),MONTH('Model inputs'!AI116),1)))),0,IFERROR(DATEDIF(DATE(YEAR('Model inputs'!AI116),MONTH('Model inputs'!AI116),1),DATE(2027,4,1),"M"),0)+1)</f>
        <v>6</v>
      </c>
      <c r="R64" s="8">
        <f>IF(IF(IF(ISERROR(DATE(2027,5,1)&lt;DATE(YEAR('Model inputs'!AI116),MONTH('Model inputs'!AI116),1)),DATE(2027,5,1)&lt;DATE(YEAR('Model inputs'!AI116),MONTH('Model inputs'!AI116),1),IF(DATE(YEAR('Model inputs'!AI116),MONTH('Model inputs'!AI116),1)="","",DATE(2027,5,1)&lt;DATE(YEAR('Model inputs'!AI116),MONTH('Model inputs'!AI116),1)))="",FALSE,IF(ISERROR(DATE(2027,5,1)&lt;DATE(YEAR('Model inputs'!AI116),MONTH('Model inputs'!AI116),1)),DATE(2027,5,1)&lt;DATE(YEAR('Model inputs'!AI116),MONTH('Model inputs'!AI116),1),IF(DATE(YEAR('Model inputs'!AI116),MONTH('Model inputs'!AI116),1)="","",DATE(2027,5,1)&lt;DATE(YEAR('Model inputs'!AI116),MONTH('Model inputs'!AI116),1)))),0,IFERROR(DATEDIF(DATE(YEAR('Model inputs'!AI116),MONTH('Model inputs'!AI116),1),DATE(2027,5,1),"M"),0)+1)</f>
        <v>7</v>
      </c>
      <c r="S64" s="8">
        <f>IF(IF(IF(ISERROR(DATE(2027,6,1)&lt;DATE(YEAR('Model inputs'!AI116),MONTH('Model inputs'!AI116),1)),DATE(2027,6,1)&lt;DATE(YEAR('Model inputs'!AI116),MONTH('Model inputs'!AI116),1),IF(DATE(YEAR('Model inputs'!AI116),MONTH('Model inputs'!AI116),1)="","",DATE(2027,6,1)&lt;DATE(YEAR('Model inputs'!AI116),MONTH('Model inputs'!AI116),1)))="",FALSE,IF(ISERROR(DATE(2027,6,1)&lt;DATE(YEAR('Model inputs'!AI116),MONTH('Model inputs'!AI116),1)),DATE(2027,6,1)&lt;DATE(YEAR('Model inputs'!AI116),MONTH('Model inputs'!AI116),1),IF(DATE(YEAR('Model inputs'!AI116),MONTH('Model inputs'!AI116),1)="","",DATE(2027,6,1)&lt;DATE(YEAR('Model inputs'!AI116),MONTH('Model inputs'!AI116),1)))),0,IFERROR(DATEDIF(DATE(YEAR('Model inputs'!AI116),MONTH('Model inputs'!AI116),1),DATE(2027,6,1),"M"),0)+1)</f>
        <v>8</v>
      </c>
      <c r="T64" s="8">
        <f>IF(IF(IF(ISERROR(DATE(2027,7,1)&lt;DATE(YEAR('Model inputs'!AI116),MONTH('Model inputs'!AI116),1)),DATE(2027,7,1)&lt;DATE(YEAR('Model inputs'!AI116),MONTH('Model inputs'!AI116),1),IF(DATE(YEAR('Model inputs'!AI116),MONTH('Model inputs'!AI116),1)="","",DATE(2027,7,1)&lt;DATE(YEAR('Model inputs'!AI116),MONTH('Model inputs'!AI116),1)))="",FALSE,IF(ISERROR(DATE(2027,7,1)&lt;DATE(YEAR('Model inputs'!AI116),MONTH('Model inputs'!AI116),1)),DATE(2027,7,1)&lt;DATE(YEAR('Model inputs'!AI116),MONTH('Model inputs'!AI116),1),IF(DATE(YEAR('Model inputs'!AI116),MONTH('Model inputs'!AI116),1)="","",DATE(2027,7,1)&lt;DATE(YEAR('Model inputs'!AI116),MONTH('Model inputs'!AI116),1)))),0,IFERROR(DATEDIF(DATE(YEAR('Model inputs'!AI116),MONTH('Model inputs'!AI116),1),DATE(2027,7,1),"M"),0)+1)</f>
        <v>9</v>
      </c>
      <c r="U64" s="8">
        <f>IF(IF(IF(ISERROR(DATE(2027,8,1)&lt;DATE(YEAR('Model inputs'!AI116),MONTH('Model inputs'!AI116),1)),DATE(2027,8,1)&lt;DATE(YEAR('Model inputs'!AI116),MONTH('Model inputs'!AI116),1),IF(DATE(YEAR('Model inputs'!AI116),MONTH('Model inputs'!AI116),1)="","",DATE(2027,8,1)&lt;DATE(YEAR('Model inputs'!AI116),MONTH('Model inputs'!AI116),1)))="",FALSE,IF(ISERROR(DATE(2027,8,1)&lt;DATE(YEAR('Model inputs'!AI116),MONTH('Model inputs'!AI116),1)),DATE(2027,8,1)&lt;DATE(YEAR('Model inputs'!AI116),MONTH('Model inputs'!AI116),1),IF(DATE(YEAR('Model inputs'!AI116),MONTH('Model inputs'!AI116),1)="","",DATE(2027,8,1)&lt;DATE(YEAR('Model inputs'!AI116),MONTH('Model inputs'!AI116),1)))),0,IFERROR(DATEDIF(DATE(YEAR('Model inputs'!AI116),MONTH('Model inputs'!AI116),1),DATE(2027,8,1),"M"),0)+1)</f>
        <v>10</v>
      </c>
      <c r="V64" s="8">
        <f>IF(IF(IF(ISERROR(DATE(2027,9,1)&lt;DATE(YEAR('Model inputs'!AI116),MONTH('Model inputs'!AI116),1)),DATE(2027,9,1)&lt;DATE(YEAR('Model inputs'!AI116),MONTH('Model inputs'!AI116),1),IF(DATE(YEAR('Model inputs'!AI116),MONTH('Model inputs'!AI116),1)="","",DATE(2027,9,1)&lt;DATE(YEAR('Model inputs'!AI116),MONTH('Model inputs'!AI116),1)))="",FALSE,IF(ISERROR(DATE(2027,9,1)&lt;DATE(YEAR('Model inputs'!AI116),MONTH('Model inputs'!AI116),1)),DATE(2027,9,1)&lt;DATE(YEAR('Model inputs'!AI116),MONTH('Model inputs'!AI116),1),IF(DATE(YEAR('Model inputs'!AI116),MONTH('Model inputs'!AI116),1)="","",DATE(2027,9,1)&lt;DATE(YEAR('Model inputs'!AI116),MONTH('Model inputs'!AI116),1)))),0,IFERROR(DATEDIF(DATE(YEAR('Model inputs'!AI116),MONTH('Model inputs'!AI116),1),DATE(2027,9,1),"M"),0)+1)</f>
        <v>11</v>
      </c>
      <c r="W64" s="8">
        <f>IF(IF(IF(ISERROR(DATE(2027,10,1)&lt;DATE(YEAR('Model inputs'!AI116),MONTH('Model inputs'!AI116),1)),DATE(2027,10,1)&lt;DATE(YEAR('Model inputs'!AI116),MONTH('Model inputs'!AI116),1),IF(DATE(YEAR('Model inputs'!AI116),MONTH('Model inputs'!AI116),1)="","",DATE(2027,10,1)&lt;DATE(YEAR('Model inputs'!AI116),MONTH('Model inputs'!AI116),1)))="",FALSE,IF(ISERROR(DATE(2027,10,1)&lt;DATE(YEAR('Model inputs'!AI116),MONTH('Model inputs'!AI116),1)),DATE(2027,10,1)&lt;DATE(YEAR('Model inputs'!AI116),MONTH('Model inputs'!AI116),1),IF(DATE(YEAR('Model inputs'!AI116),MONTH('Model inputs'!AI116),1)="","",DATE(2027,10,1)&lt;DATE(YEAR('Model inputs'!AI116),MONTH('Model inputs'!AI116),1)))),0,IFERROR(DATEDIF(DATE(YEAR('Model inputs'!AI116),MONTH('Model inputs'!AI116),1),DATE(2027,10,1),"M"),0)+1)</f>
        <v>12</v>
      </c>
      <c r="X64" s="8">
        <f>IF(IF(IF(ISERROR(DATE(2027,11,1)&lt;DATE(YEAR('Model inputs'!AI116),MONTH('Model inputs'!AI116),1)),DATE(2027,11,1)&lt;DATE(YEAR('Model inputs'!AI116),MONTH('Model inputs'!AI116),1),IF(DATE(YEAR('Model inputs'!AI116),MONTH('Model inputs'!AI116),1)="","",DATE(2027,11,1)&lt;DATE(YEAR('Model inputs'!AI116),MONTH('Model inputs'!AI116),1)))="",FALSE,IF(ISERROR(DATE(2027,11,1)&lt;DATE(YEAR('Model inputs'!AI116),MONTH('Model inputs'!AI116),1)),DATE(2027,11,1)&lt;DATE(YEAR('Model inputs'!AI116),MONTH('Model inputs'!AI116),1),IF(DATE(YEAR('Model inputs'!AI116),MONTH('Model inputs'!AI116),1)="","",DATE(2027,11,1)&lt;DATE(YEAR('Model inputs'!AI116),MONTH('Model inputs'!AI116),1)))),0,IFERROR(DATEDIF(DATE(YEAR('Model inputs'!AI116),MONTH('Model inputs'!AI116),1),DATE(2027,11,1),"M"),0)+1)</f>
        <v>13</v>
      </c>
      <c r="Y64" s="8">
        <f>IF(IF(IF(ISERROR(DATE(2027,12,1)&lt;DATE(YEAR('Model inputs'!AI116),MONTH('Model inputs'!AI116),1)),DATE(2027,12,1)&lt;DATE(YEAR('Model inputs'!AI116),MONTH('Model inputs'!AI116),1),IF(DATE(YEAR('Model inputs'!AI116),MONTH('Model inputs'!AI116),1)="","",DATE(2027,12,1)&lt;DATE(YEAR('Model inputs'!AI116),MONTH('Model inputs'!AI116),1)))="",FALSE,IF(ISERROR(DATE(2027,12,1)&lt;DATE(YEAR('Model inputs'!AI116),MONTH('Model inputs'!AI116),1)),DATE(2027,12,1)&lt;DATE(YEAR('Model inputs'!AI116),MONTH('Model inputs'!AI116),1),IF(DATE(YEAR('Model inputs'!AI116),MONTH('Model inputs'!AI116),1)="","",DATE(2027,12,1)&lt;DATE(YEAR('Model inputs'!AI116),MONTH('Model inputs'!AI116),1)))),0,IFERROR(DATEDIF(DATE(YEAR('Model inputs'!AI116),MONTH('Model inputs'!AI116),1),DATE(2027,12,1),"M"),0)+1)</f>
        <v>14</v>
      </c>
      <c r="Z64" s="8">
        <f>IF(IF(IF(ISERROR(DATE(2028,1,1)&lt;DATE(YEAR('Model inputs'!AI116),MONTH('Model inputs'!AI116),1)),DATE(2028,1,1)&lt;DATE(YEAR('Model inputs'!AI116),MONTH('Model inputs'!AI116),1),IF(DATE(YEAR('Model inputs'!AI116),MONTH('Model inputs'!AI116),1)="","",DATE(2028,1,1)&lt;DATE(YEAR('Model inputs'!AI116),MONTH('Model inputs'!AI116),1)))="",FALSE,IF(ISERROR(DATE(2028,1,1)&lt;DATE(YEAR('Model inputs'!AI116),MONTH('Model inputs'!AI116),1)),DATE(2028,1,1)&lt;DATE(YEAR('Model inputs'!AI116),MONTH('Model inputs'!AI116),1),IF(DATE(YEAR('Model inputs'!AI116),MONTH('Model inputs'!AI116),1)="","",DATE(2028,1,1)&lt;DATE(YEAR('Model inputs'!AI116),MONTH('Model inputs'!AI116),1)))),0,IFERROR(DATEDIF(DATE(YEAR('Model inputs'!AI116),MONTH('Model inputs'!AI116),1),DATE(2028,1,1),"M"),0)+1)</f>
        <v>15</v>
      </c>
      <c r="AA64" s="8">
        <f>IF(IF(IF(ISERROR(DATE(2028,2,1)&lt;DATE(YEAR('Model inputs'!AI116),MONTH('Model inputs'!AI116),1)),DATE(2028,2,1)&lt;DATE(YEAR('Model inputs'!AI116),MONTH('Model inputs'!AI116),1),IF(DATE(YEAR('Model inputs'!AI116),MONTH('Model inputs'!AI116),1)="","",DATE(2028,2,1)&lt;DATE(YEAR('Model inputs'!AI116),MONTH('Model inputs'!AI116),1)))="",FALSE,IF(ISERROR(DATE(2028,2,1)&lt;DATE(YEAR('Model inputs'!AI116),MONTH('Model inputs'!AI116),1)),DATE(2028,2,1)&lt;DATE(YEAR('Model inputs'!AI116),MONTH('Model inputs'!AI116),1),IF(DATE(YEAR('Model inputs'!AI116),MONTH('Model inputs'!AI116),1)="","",DATE(2028,2,1)&lt;DATE(YEAR('Model inputs'!AI116),MONTH('Model inputs'!AI116),1)))),0,IFERROR(DATEDIF(DATE(YEAR('Model inputs'!AI116),MONTH('Model inputs'!AI116),1),DATE(2028,2,1),"M"),0)+1)</f>
        <v>16</v>
      </c>
      <c r="AB64" s="8">
        <f>IF(IF(IF(ISERROR(DATE(2028,3,1)&lt;DATE(YEAR('Model inputs'!AI116),MONTH('Model inputs'!AI116),1)),DATE(2028,3,1)&lt;DATE(YEAR('Model inputs'!AI116),MONTH('Model inputs'!AI116),1),IF(DATE(YEAR('Model inputs'!AI116),MONTH('Model inputs'!AI116),1)="","",DATE(2028,3,1)&lt;DATE(YEAR('Model inputs'!AI116),MONTH('Model inputs'!AI116),1)))="",FALSE,IF(ISERROR(DATE(2028,3,1)&lt;DATE(YEAR('Model inputs'!AI116),MONTH('Model inputs'!AI116),1)),DATE(2028,3,1)&lt;DATE(YEAR('Model inputs'!AI116),MONTH('Model inputs'!AI116),1),IF(DATE(YEAR('Model inputs'!AI116),MONTH('Model inputs'!AI116),1)="","",DATE(2028,3,1)&lt;DATE(YEAR('Model inputs'!AI116),MONTH('Model inputs'!AI116),1)))),0,IFERROR(DATEDIF(DATE(YEAR('Model inputs'!AI116),MONTH('Model inputs'!AI116),1),DATE(2028,3,1),"M"),0)+1)</f>
        <v>17</v>
      </c>
      <c r="AC64" s="8">
        <f>IF(IF(IF(ISERROR(DATE(2028,4,1)&lt;DATE(YEAR('Model inputs'!AI116),MONTH('Model inputs'!AI116),1)),DATE(2028,4,1)&lt;DATE(YEAR('Model inputs'!AI116),MONTH('Model inputs'!AI116),1),IF(DATE(YEAR('Model inputs'!AI116),MONTH('Model inputs'!AI116),1)="","",DATE(2028,4,1)&lt;DATE(YEAR('Model inputs'!AI116),MONTH('Model inputs'!AI116),1)))="",FALSE,IF(ISERROR(DATE(2028,4,1)&lt;DATE(YEAR('Model inputs'!AI116),MONTH('Model inputs'!AI116),1)),DATE(2028,4,1)&lt;DATE(YEAR('Model inputs'!AI116),MONTH('Model inputs'!AI116),1),IF(DATE(YEAR('Model inputs'!AI116),MONTH('Model inputs'!AI116),1)="","",DATE(2028,4,1)&lt;DATE(YEAR('Model inputs'!AI116),MONTH('Model inputs'!AI116),1)))),0,IFERROR(DATEDIF(DATE(YEAR('Model inputs'!AI116),MONTH('Model inputs'!AI116),1),DATE(2028,4,1),"M"),0)+1)</f>
        <v>18</v>
      </c>
      <c r="AD64" s="8">
        <f>IF(IF(IF(ISERROR(DATE(2028,5,1)&lt;DATE(YEAR('Model inputs'!AI116),MONTH('Model inputs'!AI116),1)),DATE(2028,5,1)&lt;DATE(YEAR('Model inputs'!AI116),MONTH('Model inputs'!AI116),1),IF(DATE(YEAR('Model inputs'!AI116),MONTH('Model inputs'!AI116),1)="","",DATE(2028,5,1)&lt;DATE(YEAR('Model inputs'!AI116),MONTH('Model inputs'!AI116),1)))="",FALSE,IF(ISERROR(DATE(2028,5,1)&lt;DATE(YEAR('Model inputs'!AI116),MONTH('Model inputs'!AI116),1)),DATE(2028,5,1)&lt;DATE(YEAR('Model inputs'!AI116),MONTH('Model inputs'!AI116),1),IF(DATE(YEAR('Model inputs'!AI116),MONTH('Model inputs'!AI116),1)="","",DATE(2028,5,1)&lt;DATE(YEAR('Model inputs'!AI116),MONTH('Model inputs'!AI116),1)))),0,IFERROR(DATEDIF(DATE(YEAR('Model inputs'!AI116),MONTH('Model inputs'!AI116),1),DATE(2028,5,1),"M"),0)+1)</f>
        <v>19</v>
      </c>
      <c r="AE64" s="8">
        <f>IF(IF(IF(ISERROR(DATE(2028,6,1)&lt;DATE(YEAR('Model inputs'!AI116),MONTH('Model inputs'!AI116),1)),DATE(2028,6,1)&lt;DATE(YEAR('Model inputs'!AI116),MONTH('Model inputs'!AI116),1),IF(DATE(YEAR('Model inputs'!AI116),MONTH('Model inputs'!AI116),1)="","",DATE(2028,6,1)&lt;DATE(YEAR('Model inputs'!AI116),MONTH('Model inputs'!AI116),1)))="",FALSE,IF(ISERROR(DATE(2028,6,1)&lt;DATE(YEAR('Model inputs'!AI116),MONTH('Model inputs'!AI116),1)),DATE(2028,6,1)&lt;DATE(YEAR('Model inputs'!AI116),MONTH('Model inputs'!AI116),1),IF(DATE(YEAR('Model inputs'!AI116),MONTH('Model inputs'!AI116),1)="","",DATE(2028,6,1)&lt;DATE(YEAR('Model inputs'!AI116),MONTH('Model inputs'!AI116),1)))),0,IFERROR(DATEDIF(DATE(YEAR('Model inputs'!AI116),MONTH('Model inputs'!AI116),1),DATE(2028,6,1),"M"),0)+1)</f>
        <v>20</v>
      </c>
      <c r="AF64" s="8">
        <f>IF(IF(IF(ISERROR(DATE(2028,7,1)&lt;DATE(YEAR('Model inputs'!AI116),MONTH('Model inputs'!AI116),1)),DATE(2028,7,1)&lt;DATE(YEAR('Model inputs'!AI116),MONTH('Model inputs'!AI116),1),IF(DATE(YEAR('Model inputs'!AI116),MONTH('Model inputs'!AI116),1)="","",DATE(2028,7,1)&lt;DATE(YEAR('Model inputs'!AI116),MONTH('Model inputs'!AI116),1)))="",FALSE,IF(ISERROR(DATE(2028,7,1)&lt;DATE(YEAR('Model inputs'!AI116),MONTH('Model inputs'!AI116),1)),DATE(2028,7,1)&lt;DATE(YEAR('Model inputs'!AI116),MONTH('Model inputs'!AI116),1),IF(DATE(YEAR('Model inputs'!AI116),MONTH('Model inputs'!AI116),1)="","",DATE(2028,7,1)&lt;DATE(YEAR('Model inputs'!AI116),MONTH('Model inputs'!AI116),1)))),0,IFERROR(DATEDIF(DATE(YEAR('Model inputs'!AI116),MONTH('Model inputs'!AI116),1),DATE(2028,7,1),"M"),0)+1)</f>
        <v>21</v>
      </c>
      <c r="AG64" s="8">
        <f>IF(IF(IF(ISERROR(DATE(2028,8,1)&lt;DATE(YEAR('Model inputs'!AI116),MONTH('Model inputs'!AI116),1)),DATE(2028,8,1)&lt;DATE(YEAR('Model inputs'!AI116),MONTH('Model inputs'!AI116),1),IF(DATE(YEAR('Model inputs'!AI116),MONTH('Model inputs'!AI116),1)="","",DATE(2028,8,1)&lt;DATE(YEAR('Model inputs'!AI116),MONTH('Model inputs'!AI116),1)))="",FALSE,IF(ISERROR(DATE(2028,8,1)&lt;DATE(YEAR('Model inputs'!AI116),MONTH('Model inputs'!AI116),1)),DATE(2028,8,1)&lt;DATE(YEAR('Model inputs'!AI116),MONTH('Model inputs'!AI116),1),IF(DATE(YEAR('Model inputs'!AI116),MONTH('Model inputs'!AI116),1)="","",DATE(2028,8,1)&lt;DATE(YEAR('Model inputs'!AI116),MONTH('Model inputs'!AI116),1)))),0,IFERROR(DATEDIF(DATE(YEAR('Model inputs'!AI116),MONTH('Model inputs'!AI116),1),DATE(2028,8,1),"M"),0)+1)</f>
        <v>22</v>
      </c>
      <c r="AH64" s="8">
        <f>IF(IF(IF(ISERROR(DATE(2028,9,1)&lt;DATE(YEAR('Model inputs'!AI116),MONTH('Model inputs'!AI116),1)),DATE(2028,9,1)&lt;DATE(YEAR('Model inputs'!AI116),MONTH('Model inputs'!AI116),1),IF(DATE(YEAR('Model inputs'!AI116),MONTH('Model inputs'!AI116),1)="","",DATE(2028,9,1)&lt;DATE(YEAR('Model inputs'!AI116),MONTH('Model inputs'!AI116),1)))="",FALSE,IF(ISERROR(DATE(2028,9,1)&lt;DATE(YEAR('Model inputs'!AI116),MONTH('Model inputs'!AI116),1)),DATE(2028,9,1)&lt;DATE(YEAR('Model inputs'!AI116),MONTH('Model inputs'!AI116),1),IF(DATE(YEAR('Model inputs'!AI116),MONTH('Model inputs'!AI116),1)="","",DATE(2028,9,1)&lt;DATE(YEAR('Model inputs'!AI116),MONTH('Model inputs'!AI116),1)))),0,IFERROR(DATEDIF(DATE(YEAR('Model inputs'!AI116),MONTH('Model inputs'!AI116),1),DATE(2028,9,1),"M"),0)+1)</f>
        <v>23</v>
      </c>
    </row>
    <row r="65">
      <c r="A65" t="inlineStr" s="11">
        <is>
          <t xml:space="preserve">Months since launch · Growth · $0.34</t>
        </is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f>IF(IF(IF(ISERROR(DATE(2026,10,1)&lt;DATE(YEAR('Model inputs'!AI117),MONTH('Model inputs'!AI117),1)),DATE(2026,10,1)&lt;DATE(YEAR('Model inputs'!AI117),MONTH('Model inputs'!AI117),1),IF(DATE(YEAR('Model inputs'!AI117),MONTH('Model inputs'!AI117),1)="","",DATE(2026,10,1)&lt;DATE(YEAR('Model inputs'!AI117),MONTH('Model inputs'!AI117),1)))="",FALSE,IF(ISERROR(DATE(2026,10,1)&lt;DATE(YEAR('Model inputs'!AI117),MONTH('Model inputs'!AI117),1)),DATE(2026,10,1)&lt;DATE(YEAR('Model inputs'!AI117),MONTH('Model inputs'!AI117),1),IF(DATE(YEAR('Model inputs'!AI117),MONTH('Model inputs'!AI117),1)="","",DATE(2026,10,1)&lt;DATE(YEAR('Model inputs'!AI117),MONTH('Model inputs'!AI117),1)))),0,IFERROR(DATEDIF(DATE(YEAR('Model inputs'!AI117),MONTH('Model inputs'!AI117),1),DATE(2026,10,1),"M"),0)+1)</f>
        <v>0</v>
      </c>
      <c r="L65" s="8">
        <f>IF(IF(IF(ISERROR(DATE(2026,11,1)&lt;DATE(YEAR('Model inputs'!AI117),MONTH('Model inputs'!AI117),1)),DATE(2026,11,1)&lt;DATE(YEAR('Model inputs'!AI117),MONTH('Model inputs'!AI117),1),IF(DATE(YEAR('Model inputs'!AI117),MONTH('Model inputs'!AI117),1)="","",DATE(2026,11,1)&lt;DATE(YEAR('Model inputs'!AI117),MONTH('Model inputs'!AI117),1)))="",FALSE,IF(ISERROR(DATE(2026,11,1)&lt;DATE(YEAR('Model inputs'!AI117),MONTH('Model inputs'!AI117),1)),DATE(2026,11,1)&lt;DATE(YEAR('Model inputs'!AI117),MONTH('Model inputs'!AI117),1),IF(DATE(YEAR('Model inputs'!AI117),MONTH('Model inputs'!AI117),1)="","",DATE(2026,11,1)&lt;DATE(YEAR('Model inputs'!AI117),MONTH('Model inputs'!AI117),1)))),0,IFERROR(DATEDIF(DATE(YEAR('Model inputs'!AI117),MONTH('Model inputs'!AI117),1),DATE(2026,11,1),"M"),0)+1)</f>
        <v>1</v>
      </c>
      <c r="M65" s="8">
        <f>IF(IF(IF(ISERROR(DATE(2026,12,1)&lt;DATE(YEAR('Model inputs'!AI117),MONTH('Model inputs'!AI117),1)),DATE(2026,12,1)&lt;DATE(YEAR('Model inputs'!AI117),MONTH('Model inputs'!AI117),1),IF(DATE(YEAR('Model inputs'!AI117),MONTH('Model inputs'!AI117),1)="","",DATE(2026,12,1)&lt;DATE(YEAR('Model inputs'!AI117),MONTH('Model inputs'!AI117),1)))="",FALSE,IF(ISERROR(DATE(2026,12,1)&lt;DATE(YEAR('Model inputs'!AI117),MONTH('Model inputs'!AI117),1)),DATE(2026,12,1)&lt;DATE(YEAR('Model inputs'!AI117),MONTH('Model inputs'!AI117),1),IF(DATE(YEAR('Model inputs'!AI117),MONTH('Model inputs'!AI117),1)="","",DATE(2026,12,1)&lt;DATE(YEAR('Model inputs'!AI117),MONTH('Model inputs'!AI117),1)))),0,IFERROR(DATEDIF(DATE(YEAR('Model inputs'!AI117),MONTH('Model inputs'!AI117),1),DATE(2026,12,1),"M"),0)+1)</f>
        <v>2</v>
      </c>
      <c r="N65" s="8">
        <f>IF(IF(IF(ISERROR(DATE(2027,1,1)&lt;DATE(YEAR('Model inputs'!AI117),MONTH('Model inputs'!AI117),1)),DATE(2027,1,1)&lt;DATE(YEAR('Model inputs'!AI117),MONTH('Model inputs'!AI117),1),IF(DATE(YEAR('Model inputs'!AI117),MONTH('Model inputs'!AI117),1)="","",DATE(2027,1,1)&lt;DATE(YEAR('Model inputs'!AI117),MONTH('Model inputs'!AI117),1)))="",FALSE,IF(ISERROR(DATE(2027,1,1)&lt;DATE(YEAR('Model inputs'!AI117),MONTH('Model inputs'!AI117),1)),DATE(2027,1,1)&lt;DATE(YEAR('Model inputs'!AI117),MONTH('Model inputs'!AI117),1),IF(DATE(YEAR('Model inputs'!AI117),MONTH('Model inputs'!AI117),1)="","",DATE(2027,1,1)&lt;DATE(YEAR('Model inputs'!AI117),MONTH('Model inputs'!AI117),1)))),0,IFERROR(DATEDIF(DATE(YEAR('Model inputs'!AI117),MONTH('Model inputs'!AI117),1),DATE(2027,1,1),"M"),0)+1)</f>
        <v>3</v>
      </c>
      <c r="O65" s="8">
        <f>IF(IF(IF(ISERROR(DATE(2027,2,1)&lt;DATE(YEAR('Model inputs'!AI117),MONTH('Model inputs'!AI117),1)),DATE(2027,2,1)&lt;DATE(YEAR('Model inputs'!AI117),MONTH('Model inputs'!AI117),1),IF(DATE(YEAR('Model inputs'!AI117),MONTH('Model inputs'!AI117),1)="","",DATE(2027,2,1)&lt;DATE(YEAR('Model inputs'!AI117),MONTH('Model inputs'!AI117),1)))="",FALSE,IF(ISERROR(DATE(2027,2,1)&lt;DATE(YEAR('Model inputs'!AI117),MONTH('Model inputs'!AI117),1)),DATE(2027,2,1)&lt;DATE(YEAR('Model inputs'!AI117),MONTH('Model inputs'!AI117),1),IF(DATE(YEAR('Model inputs'!AI117),MONTH('Model inputs'!AI117),1)="","",DATE(2027,2,1)&lt;DATE(YEAR('Model inputs'!AI117),MONTH('Model inputs'!AI117),1)))),0,IFERROR(DATEDIF(DATE(YEAR('Model inputs'!AI117),MONTH('Model inputs'!AI117),1),DATE(2027,2,1),"M"),0)+1)</f>
        <v>4</v>
      </c>
      <c r="P65" s="8">
        <f>IF(IF(IF(ISERROR(DATE(2027,3,1)&lt;DATE(YEAR('Model inputs'!AI117),MONTH('Model inputs'!AI117),1)),DATE(2027,3,1)&lt;DATE(YEAR('Model inputs'!AI117),MONTH('Model inputs'!AI117),1),IF(DATE(YEAR('Model inputs'!AI117),MONTH('Model inputs'!AI117),1)="","",DATE(2027,3,1)&lt;DATE(YEAR('Model inputs'!AI117),MONTH('Model inputs'!AI117),1)))="",FALSE,IF(ISERROR(DATE(2027,3,1)&lt;DATE(YEAR('Model inputs'!AI117),MONTH('Model inputs'!AI117),1)),DATE(2027,3,1)&lt;DATE(YEAR('Model inputs'!AI117),MONTH('Model inputs'!AI117),1),IF(DATE(YEAR('Model inputs'!AI117),MONTH('Model inputs'!AI117),1)="","",DATE(2027,3,1)&lt;DATE(YEAR('Model inputs'!AI117),MONTH('Model inputs'!AI117),1)))),0,IFERROR(DATEDIF(DATE(YEAR('Model inputs'!AI117),MONTH('Model inputs'!AI117),1),DATE(2027,3,1),"M"),0)+1)</f>
        <v>5</v>
      </c>
      <c r="Q65" s="8">
        <f>IF(IF(IF(ISERROR(DATE(2027,4,1)&lt;DATE(YEAR('Model inputs'!AI117),MONTH('Model inputs'!AI117),1)),DATE(2027,4,1)&lt;DATE(YEAR('Model inputs'!AI117),MONTH('Model inputs'!AI117),1),IF(DATE(YEAR('Model inputs'!AI117),MONTH('Model inputs'!AI117),1)="","",DATE(2027,4,1)&lt;DATE(YEAR('Model inputs'!AI117),MONTH('Model inputs'!AI117),1)))="",FALSE,IF(ISERROR(DATE(2027,4,1)&lt;DATE(YEAR('Model inputs'!AI117),MONTH('Model inputs'!AI117),1)),DATE(2027,4,1)&lt;DATE(YEAR('Model inputs'!AI117),MONTH('Model inputs'!AI117),1),IF(DATE(YEAR('Model inputs'!AI117),MONTH('Model inputs'!AI117),1)="","",DATE(2027,4,1)&lt;DATE(YEAR('Model inputs'!AI117),MONTH('Model inputs'!AI117),1)))),0,IFERROR(DATEDIF(DATE(YEAR('Model inputs'!AI117),MONTH('Model inputs'!AI117),1),DATE(2027,4,1),"M"),0)+1)</f>
        <v>6</v>
      </c>
      <c r="R65" s="8">
        <f>IF(IF(IF(ISERROR(DATE(2027,5,1)&lt;DATE(YEAR('Model inputs'!AI117),MONTH('Model inputs'!AI117),1)),DATE(2027,5,1)&lt;DATE(YEAR('Model inputs'!AI117),MONTH('Model inputs'!AI117),1),IF(DATE(YEAR('Model inputs'!AI117),MONTH('Model inputs'!AI117),1)="","",DATE(2027,5,1)&lt;DATE(YEAR('Model inputs'!AI117),MONTH('Model inputs'!AI117),1)))="",FALSE,IF(ISERROR(DATE(2027,5,1)&lt;DATE(YEAR('Model inputs'!AI117),MONTH('Model inputs'!AI117),1)),DATE(2027,5,1)&lt;DATE(YEAR('Model inputs'!AI117),MONTH('Model inputs'!AI117),1),IF(DATE(YEAR('Model inputs'!AI117),MONTH('Model inputs'!AI117),1)="","",DATE(2027,5,1)&lt;DATE(YEAR('Model inputs'!AI117),MONTH('Model inputs'!AI117),1)))),0,IFERROR(DATEDIF(DATE(YEAR('Model inputs'!AI117),MONTH('Model inputs'!AI117),1),DATE(2027,5,1),"M"),0)+1)</f>
        <v>7</v>
      </c>
      <c r="S65" s="8">
        <f>IF(IF(IF(ISERROR(DATE(2027,6,1)&lt;DATE(YEAR('Model inputs'!AI117),MONTH('Model inputs'!AI117),1)),DATE(2027,6,1)&lt;DATE(YEAR('Model inputs'!AI117),MONTH('Model inputs'!AI117),1),IF(DATE(YEAR('Model inputs'!AI117),MONTH('Model inputs'!AI117),1)="","",DATE(2027,6,1)&lt;DATE(YEAR('Model inputs'!AI117),MONTH('Model inputs'!AI117),1)))="",FALSE,IF(ISERROR(DATE(2027,6,1)&lt;DATE(YEAR('Model inputs'!AI117),MONTH('Model inputs'!AI117),1)),DATE(2027,6,1)&lt;DATE(YEAR('Model inputs'!AI117),MONTH('Model inputs'!AI117),1),IF(DATE(YEAR('Model inputs'!AI117),MONTH('Model inputs'!AI117),1)="","",DATE(2027,6,1)&lt;DATE(YEAR('Model inputs'!AI117),MONTH('Model inputs'!AI117),1)))),0,IFERROR(DATEDIF(DATE(YEAR('Model inputs'!AI117),MONTH('Model inputs'!AI117),1),DATE(2027,6,1),"M"),0)+1)</f>
        <v>8</v>
      </c>
      <c r="T65" s="8">
        <f>IF(IF(IF(ISERROR(DATE(2027,7,1)&lt;DATE(YEAR('Model inputs'!AI117),MONTH('Model inputs'!AI117),1)),DATE(2027,7,1)&lt;DATE(YEAR('Model inputs'!AI117),MONTH('Model inputs'!AI117),1),IF(DATE(YEAR('Model inputs'!AI117),MONTH('Model inputs'!AI117),1)="","",DATE(2027,7,1)&lt;DATE(YEAR('Model inputs'!AI117),MONTH('Model inputs'!AI117),1)))="",FALSE,IF(ISERROR(DATE(2027,7,1)&lt;DATE(YEAR('Model inputs'!AI117),MONTH('Model inputs'!AI117),1)),DATE(2027,7,1)&lt;DATE(YEAR('Model inputs'!AI117),MONTH('Model inputs'!AI117),1),IF(DATE(YEAR('Model inputs'!AI117),MONTH('Model inputs'!AI117),1)="","",DATE(2027,7,1)&lt;DATE(YEAR('Model inputs'!AI117),MONTH('Model inputs'!AI117),1)))),0,IFERROR(DATEDIF(DATE(YEAR('Model inputs'!AI117),MONTH('Model inputs'!AI117),1),DATE(2027,7,1),"M"),0)+1)</f>
        <v>9</v>
      </c>
      <c r="U65" s="8">
        <f>IF(IF(IF(ISERROR(DATE(2027,8,1)&lt;DATE(YEAR('Model inputs'!AI117),MONTH('Model inputs'!AI117),1)),DATE(2027,8,1)&lt;DATE(YEAR('Model inputs'!AI117),MONTH('Model inputs'!AI117),1),IF(DATE(YEAR('Model inputs'!AI117),MONTH('Model inputs'!AI117),1)="","",DATE(2027,8,1)&lt;DATE(YEAR('Model inputs'!AI117),MONTH('Model inputs'!AI117),1)))="",FALSE,IF(ISERROR(DATE(2027,8,1)&lt;DATE(YEAR('Model inputs'!AI117),MONTH('Model inputs'!AI117),1)),DATE(2027,8,1)&lt;DATE(YEAR('Model inputs'!AI117),MONTH('Model inputs'!AI117),1),IF(DATE(YEAR('Model inputs'!AI117),MONTH('Model inputs'!AI117),1)="","",DATE(2027,8,1)&lt;DATE(YEAR('Model inputs'!AI117),MONTH('Model inputs'!AI117),1)))),0,IFERROR(DATEDIF(DATE(YEAR('Model inputs'!AI117),MONTH('Model inputs'!AI117),1),DATE(2027,8,1),"M"),0)+1)</f>
        <v>10</v>
      </c>
      <c r="V65" s="8">
        <f>IF(IF(IF(ISERROR(DATE(2027,9,1)&lt;DATE(YEAR('Model inputs'!AI117),MONTH('Model inputs'!AI117),1)),DATE(2027,9,1)&lt;DATE(YEAR('Model inputs'!AI117),MONTH('Model inputs'!AI117),1),IF(DATE(YEAR('Model inputs'!AI117),MONTH('Model inputs'!AI117),1)="","",DATE(2027,9,1)&lt;DATE(YEAR('Model inputs'!AI117),MONTH('Model inputs'!AI117),1)))="",FALSE,IF(ISERROR(DATE(2027,9,1)&lt;DATE(YEAR('Model inputs'!AI117),MONTH('Model inputs'!AI117),1)),DATE(2027,9,1)&lt;DATE(YEAR('Model inputs'!AI117),MONTH('Model inputs'!AI117),1),IF(DATE(YEAR('Model inputs'!AI117),MONTH('Model inputs'!AI117),1)="","",DATE(2027,9,1)&lt;DATE(YEAR('Model inputs'!AI117),MONTH('Model inputs'!AI117),1)))),0,IFERROR(DATEDIF(DATE(YEAR('Model inputs'!AI117),MONTH('Model inputs'!AI117),1),DATE(2027,9,1),"M"),0)+1)</f>
        <v>11</v>
      </c>
      <c r="W65" s="8">
        <f>IF(IF(IF(ISERROR(DATE(2027,10,1)&lt;DATE(YEAR('Model inputs'!AI117),MONTH('Model inputs'!AI117),1)),DATE(2027,10,1)&lt;DATE(YEAR('Model inputs'!AI117),MONTH('Model inputs'!AI117),1),IF(DATE(YEAR('Model inputs'!AI117),MONTH('Model inputs'!AI117),1)="","",DATE(2027,10,1)&lt;DATE(YEAR('Model inputs'!AI117),MONTH('Model inputs'!AI117),1)))="",FALSE,IF(ISERROR(DATE(2027,10,1)&lt;DATE(YEAR('Model inputs'!AI117),MONTH('Model inputs'!AI117),1)),DATE(2027,10,1)&lt;DATE(YEAR('Model inputs'!AI117),MONTH('Model inputs'!AI117),1),IF(DATE(YEAR('Model inputs'!AI117),MONTH('Model inputs'!AI117),1)="","",DATE(2027,10,1)&lt;DATE(YEAR('Model inputs'!AI117),MONTH('Model inputs'!AI117),1)))),0,IFERROR(DATEDIF(DATE(YEAR('Model inputs'!AI117),MONTH('Model inputs'!AI117),1),DATE(2027,10,1),"M"),0)+1)</f>
        <v>12</v>
      </c>
      <c r="X65" s="8">
        <f>IF(IF(IF(ISERROR(DATE(2027,11,1)&lt;DATE(YEAR('Model inputs'!AI117),MONTH('Model inputs'!AI117),1)),DATE(2027,11,1)&lt;DATE(YEAR('Model inputs'!AI117),MONTH('Model inputs'!AI117),1),IF(DATE(YEAR('Model inputs'!AI117),MONTH('Model inputs'!AI117),1)="","",DATE(2027,11,1)&lt;DATE(YEAR('Model inputs'!AI117),MONTH('Model inputs'!AI117),1)))="",FALSE,IF(ISERROR(DATE(2027,11,1)&lt;DATE(YEAR('Model inputs'!AI117),MONTH('Model inputs'!AI117),1)),DATE(2027,11,1)&lt;DATE(YEAR('Model inputs'!AI117),MONTH('Model inputs'!AI117),1),IF(DATE(YEAR('Model inputs'!AI117),MONTH('Model inputs'!AI117),1)="","",DATE(2027,11,1)&lt;DATE(YEAR('Model inputs'!AI117),MONTH('Model inputs'!AI117),1)))),0,IFERROR(DATEDIF(DATE(YEAR('Model inputs'!AI117),MONTH('Model inputs'!AI117),1),DATE(2027,11,1),"M"),0)+1)</f>
        <v>13</v>
      </c>
      <c r="Y65" s="8">
        <f>IF(IF(IF(ISERROR(DATE(2027,12,1)&lt;DATE(YEAR('Model inputs'!AI117),MONTH('Model inputs'!AI117),1)),DATE(2027,12,1)&lt;DATE(YEAR('Model inputs'!AI117),MONTH('Model inputs'!AI117),1),IF(DATE(YEAR('Model inputs'!AI117),MONTH('Model inputs'!AI117),1)="","",DATE(2027,12,1)&lt;DATE(YEAR('Model inputs'!AI117),MONTH('Model inputs'!AI117),1)))="",FALSE,IF(ISERROR(DATE(2027,12,1)&lt;DATE(YEAR('Model inputs'!AI117),MONTH('Model inputs'!AI117),1)),DATE(2027,12,1)&lt;DATE(YEAR('Model inputs'!AI117),MONTH('Model inputs'!AI117),1),IF(DATE(YEAR('Model inputs'!AI117),MONTH('Model inputs'!AI117),1)="","",DATE(2027,12,1)&lt;DATE(YEAR('Model inputs'!AI117),MONTH('Model inputs'!AI117),1)))),0,IFERROR(DATEDIF(DATE(YEAR('Model inputs'!AI117),MONTH('Model inputs'!AI117),1),DATE(2027,12,1),"M"),0)+1)</f>
        <v>14</v>
      </c>
      <c r="Z65" s="8">
        <f>IF(IF(IF(ISERROR(DATE(2028,1,1)&lt;DATE(YEAR('Model inputs'!AI117),MONTH('Model inputs'!AI117),1)),DATE(2028,1,1)&lt;DATE(YEAR('Model inputs'!AI117),MONTH('Model inputs'!AI117),1),IF(DATE(YEAR('Model inputs'!AI117),MONTH('Model inputs'!AI117),1)="","",DATE(2028,1,1)&lt;DATE(YEAR('Model inputs'!AI117),MONTH('Model inputs'!AI117),1)))="",FALSE,IF(ISERROR(DATE(2028,1,1)&lt;DATE(YEAR('Model inputs'!AI117),MONTH('Model inputs'!AI117),1)),DATE(2028,1,1)&lt;DATE(YEAR('Model inputs'!AI117),MONTH('Model inputs'!AI117),1),IF(DATE(YEAR('Model inputs'!AI117),MONTH('Model inputs'!AI117),1)="","",DATE(2028,1,1)&lt;DATE(YEAR('Model inputs'!AI117),MONTH('Model inputs'!AI117),1)))),0,IFERROR(DATEDIF(DATE(YEAR('Model inputs'!AI117),MONTH('Model inputs'!AI117),1),DATE(2028,1,1),"M"),0)+1)</f>
        <v>15</v>
      </c>
      <c r="AA65" s="8">
        <f>IF(IF(IF(ISERROR(DATE(2028,2,1)&lt;DATE(YEAR('Model inputs'!AI117),MONTH('Model inputs'!AI117),1)),DATE(2028,2,1)&lt;DATE(YEAR('Model inputs'!AI117),MONTH('Model inputs'!AI117),1),IF(DATE(YEAR('Model inputs'!AI117),MONTH('Model inputs'!AI117),1)="","",DATE(2028,2,1)&lt;DATE(YEAR('Model inputs'!AI117),MONTH('Model inputs'!AI117),1)))="",FALSE,IF(ISERROR(DATE(2028,2,1)&lt;DATE(YEAR('Model inputs'!AI117),MONTH('Model inputs'!AI117),1)),DATE(2028,2,1)&lt;DATE(YEAR('Model inputs'!AI117),MONTH('Model inputs'!AI117),1),IF(DATE(YEAR('Model inputs'!AI117),MONTH('Model inputs'!AI117),1)="","",DATE(2028,2,1)&lt;DATE(YEAR('Model inputs'!AI117),MONTH('Model inputs'!AI117),1)))),0,IFERROR(DATEDIF(DATE(YEAR('Model inputs'!AI117),MONTH('Model inputs'!AI117),1),DATE(2028,2,1),"M"),0)+1)</f>
        <v>16</v>
      </c>
      <c r="AB65" s="8">
        <f>IF(IF(IF(ISERROR(DATE(2028,3,1)&lt;DATE(YEAR('Model inputs'!AI117),MONTH('Model inputs'!AI117),1)),DATE(2028,3,1)&lt;DATE(YEAR('Model inputs'!AI117),MONTH('Model inputs'!AI117),1),IF(DATE(YEAR('Model inputs'!AI117),MONTH('Model inputs'!AI117),1)="","",DATE(2028,3,1)&lt;DATE(YEAR('Model inputs'!AI117),MONTH('Model inputs'!AI117),1)))="",FALSE,IF(ISERROR(DATE(2028,3,1)&lt;DATE(YEAR('Model inputs'!AI117),MONTH('Model inputs'!AI117),1)),DATE(2028,3,1)&lt;DATE(YEAR('Model inputs'!AI117),MONTH('Model inputs'!AI117),1),IF(DATE(YEAR('Model inputs'!AI117),MONTH('Model inputs'!AI117),1)="","",DATE(2028,3,1)&lt;DATE(YEAR('Model inputs'!AI117),MONTH('Model inputs'!AI117),1)))),0,IFERROR(DATEDIF(DATE(YEAR('Model inputs'!AI117),MONTH('Model inputs'!AI117),1),DATE(2028,3,1),"M"),0)+1)</f>
        <v>17</v>
      </c>
      <c r="AC65" s="8">
        <f>IF(IF(IF(ISERROR(DATE(2028,4,1)&lt;DATE(YEAR('Model inputs'!AI117),MONTH('Model inputs'!AI117),1)),DATE(2028,4,1)&lt;DATE(YEAR('Model inputs'!AI117),MONTH('Model inputs'!AI117),1),IF(DATE(YEAR('Model inputs'!AI117),MONTH('Model inputs'!AI117),1)="","",DATE(2028,4,1)&lt;DATE(YEAR('Model inputs'!AI117),MONTH('Model inputs'!AI117),1)))="",FALSE,IF(ISERROR(DATE(2028,4,1)&lt;DATE(YEAR('Model inputs'!AI117),MONTH('Model inputs'!AI117),1)),DATE(2028,4,1)&lt;DATE(YEAR('Model inputs'!AI117),MONTH('Model inputs'!AI117),1),IF(DATE(YEAR('Model inputs'!AI117),MONTH('Model inputs'!AI117),1)="","",DATE(2028,4,1)&lt;DATE(YEAR('Model inputs'!AI117),MONTH('Model inputs'!AI117),1)))),0,IFERROR(DATEDIF(DATE(YEAR('Model inputs'!AI117),MONTH('Model inputs'!AI117),1),DATE(2028,4,1),"M"),0)+1)</f>
        <v>18</v>
      </c>
      <c r="AD65" s="8">
        <f>IF(IF(IF(ISERROR(DATE(2028,5,1)&lt;DATE(YEAR('Model inputs'!AI117),MONTH('Model inputs'!AI117),1)),DATE(2028,5,1)&lt;DATE(YEAR('Model inputs'!AI117),MONTH('Model inputs'!AI117),1),IF(DATE(YEAR('Model inputs'!AI117),MONTH('Model inputs'!AI117),1)="","",DATE(2028,5,1)&lt;DATE(YEAR('Model inputs'!AI117),MONTH('Model inputs'!AI117),1)))="",FALSE,IF(ISERROR(DATE(2028,5,1)&lt;DATE(YEAR('Model inputs'!AI117),MONTH('Model inputs'!AI117),1)),DATE(2028,5,1)&lt;DATE(YEAR('Model inputs'!AI117),MONTH('Model inputs'!AI117),1),IF(DATE(YEAR('Model inputs'!AI117),MONTH('Model inputs'!AI117),1)="","",DATE(2028,5,1)&lt;DATE(YEAR('Model inputs'!AI117),MONTH('Model inputs'!AI117),1)))),0,IFERROR(DATEDIF(DATE(YEAR('Model inputs'!AI117),MONTH('Model inputs'!AI117),1),DATE(2028,5,1),"M"),0)+1)</f>
        <v>19</v>
      </c>
      <c r="AE65" s="8">
        <f>IF(IF(IF(ISERROR(DATE(2028,6,1)&lt;DATE(YEAR('Model inputs'!AI117),MONTH('Model inputs'!AI117),1)),DATE(2028,6,1)&lt;DATE(YEAR('Model inputs'!AI117),MONTH('Model inputs'!AI117),1),IF(DATE(YEAR('Model inputs'!AI117),MONTH('Model inputs'!AI117),1)="","",DATE(2028,6,1)&lt;DATE(YEAR('Model inputs'!AI117),MONTH('Model inputs'!AI117),1)))="",FALSE,IF(ISERROR(DATE(2028,6,1)&lt;DATE(YEAR('Model inputs'!AI117),MONTH('Model inputs'!AI117),1)),DATE(2028,6,1)&lt;DATE(YEAR('Model inputs'!AI117),MONTH('Model inputs'!AI117),1),IF(DATE(YEAR('Model inputs'!AI117),MONTH('Model inputs'!AI117),1)="","",DATE(2028,6,1)&lt;DATE(YEAR('Model inputs'!AI117),MONTH('Model inputs'!AI117),1)))),0,IFERROR(DATEDIF(DATE(YEAR('Model inputs'!AI117),MONTH('Model inputs'!AI117),1),DATE(2028,6,1),"M"),0)+1)</f>
        <v>20</v>
      </c>
      <c r="AF65" s="8">
        <f>IF(IF(IF(ISERROR(DATE(2028,7,1)&lt;DATE(YEAR('Model inputs'!AI117),MONTH('Model inputs'!AI117),1)),DATE(2028,7,1)&lt;DATE(YEAR('Model inputs'!AI117),MONTH('Model inputs'!AI117),1),IF(DATE(YEAR('Model inputs'!AI117),MONTH('Model inputs'!AI117),1)="","",DATE(2028,7,1)&lt;DATE(YEAR('Model inputs'!AI117),MONTH('Model inputs'!AI117),1)))="",FALSE,IF(ISERROR(DATE(2028,7,1)&lt;DATE(YEAR('Model inputs'!AI117),MONTH('Model inputs'!AI117),1)),DATE(2028,7,1)&lt;DATE(YEAR('Model inputs'!AI117),MONTH('Model inputs'!AI117),1),IF(DATE(YEAR('Model inputs'!AI117),MONTH('Model inputs'!AI117),1)="","",DATE(2028,7,1)&lt;DATE(YEAR('Model inputs'!AI117),MONTH('Model inputs'!AI117),1)))),0,IFERROR(DATEDIF(DATE(YEAR('Model inputs'!AI117),MONTH('Model inputs'!AI117),1),DATE(2028,7,1),"M"),0)+1)</f>
        <v>21</v>
      </c>
      <c r="AG65" s="8">
        <f>IF(IF(IF(ISERROR(DATE(2028,8,1)&lt;DATE(YEAR('Model inputs'!AI117),MONTH('Model inputs'!AI117),1)),DATE(2028,8,1)&lt;DATE(YEAR('Model inputs'!AI117),MONTH('Model inputs'!AI117),1),IF(DATE(YEAR('Model inputs'!AI117),MONTH('Model inputs'!AI117),1)="","",DATE(2028,8,1)&lt;DATE(YEAR('Model inputs'!AI117),MONTH('Model inputs'!AI117),1)))="",FALSE,IF(ISERROR(DATE(2028,8,1)&lt;DATE(YEAR('Model inputs'!AI117),MONTH('Model inputs'!AI117),1)),DATE(2028,8,1)&lt;DATE(YEAR('Model inputs'!AI117),MONTH('Model inputs'!AI117),1),IF(DATE(YEAR('Model inputs'!AI117),MONTH('Model inputs'!AI117),1)="","",DATE(2028,8,1)&lt;DATE(YEAR('Model inputs'!AI117),MONTH('Model inputs'!AI117),1)))),0,IFERROR(DATEDIF(DATE(YEAR('Model inputs'!AI117),MONTH('Model inputs'!AI117),1),DATE(2028,8,1),"M"),0)+1)</f>
        <v>22</v>
      </c>
      <c r="AH65" s="8">
        <f>IF(IF(IF(ISERROR(DATE(2028,9,1)&lt;DATE(YEAR('Model inputs'!AI117),MONTH('Model inputs'!AI117),1)),DATE(2028,9,1)&lt;DATE(YEAR('Model inputs'!AI117),MONTH('Model inputs'!AI117),1),IF(DATE(YEAR('Model inputs'!AI117),MONTH('Model inputs'!AI117),1)="","",DATE(2028,9,1)&lt;DATE(YEAR('Model inputs'!AI117),MONTH('Model inputs'!AI117),1)))="",FALSE,IF(ISERROR(DATE(2028,9,1)&lt;DATE(YEAR('Model inputs'!AI117),MONTH('Model inputs'!AI117),1)),DATE(2028,9,1)&lt;DATE(YEAR('Model inputs'!AI117),MONTH('Model inputs'!AI117),1),IF(DATE(YEAR('Model inputs'!AI117),MONTH('Model inputs'!AI117),1)="","",DATE(2028,9,1)&lt;DATE(YEAR('Model inputs'!AI117),MONTH('Model inputs'!AI117),1)))),0,IFERROR(DATEDIF(DATE(YEAR('Model inputs'!AI117),MONTH('Model inputs'!AI117),1),DATE(2028,9,1),"M"),0)+1)</f>
        <v>23</v>
      </c>
    </row>
    <row r="66">
      <c r="A66" t="inlineStr" s="11">
        <is>
          <t xml:space="preserve">Net cash flow with salary · Main Scenario</t>
        </is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f>'Model inputs'!K22-'Model inputs'!K110</f>
        <v>-2170</v>
      </c>
      <c r="L66" s="8">
        <f>'Model inputs'!L22-'Model inputs'!L110</f>
        <v>-2267.5</v>
      </c>
      <c r="M66" s="8">
        <f>'Model inputs'!M22-'Model inputs'!M110</f>
        <v>-2020.15</v>
      </c>
      <c r="N66" s="8">
        <f>'Model inputs'!N22-'Model inputs'!N110</f>
        <v>-2020.15</v>
      </c>
      <c r="O66" s="8">
        <f>'Model inputs'!O22-'Model inputs'!O110</f>
        <v>-2020.15</v>
      </c>
      <c r="P66" s="8">
        <f>'Model inputs'!P22-'Model inputs'!P110</f>
        <v>-2020.15</v>
      </c>
      <c r="Q66" s="8">
        <f>'Model inputs'!Q22-'Model inputs'!Q110</f>
        <v>-2020.15</v>
      </c>
      <c r="R66" s="8">
        <f>'Model inputs'!R22-'Model inputs'!R110</f>
        <v>-2020.15</v>
      </c>
      <c r="S66" s="8">
        <f>'Model inputs'!S22-'Model inputs'!S110</f>
        <v>-2020.15</v>
      </c>
      <c r="T66" s="8">
        <f>'Model inputs'!T22-'Model inputs'!T110</f>
        <v>-2020.15</v>
      </c>
      <c r="U66" s="8">
        <f>'Model inputs'!U22-'Model inputs'!U110</f>
        <v>-2020.15</v>
      </c>
      <c r="V66" s="8">
        <f>'Model inputs'!V22-'Model inputs'!V110</f>
        <v>-2020.15</v>
      </c>
      <c r="W66" s="8">
        <f>'Model inputs'!W22-'Model inputs'!W110</f>
        <v>-2020.15</v>
      </c>
      <c r="X66" s="8">
        <f>'Model inputs'!X22-'Model inputs'!X110</f>
        <v>-2020.15</v>
      </c>
      <c r="Y66" s="8">
        <f>'Model inputs'!Y22-'Model inputs'!Y110</f>
        <v>-2020.15</v>
      </c>
      <c r="Z66" s="8">
        <f>'Model inputs'!Z22-'Model inputs'!Z110</f>
        <v>-2020.15</v>
      </c>
      <c r="AA66" s="8">
        <f>'Model inputs'!AA22-'Model inputs'!AA110</f>
        <v>-2020.15</v>
      </c>
      <c r="AB66" s="8">
        <f>'Model inputs'!AB22-'Model inputs'!AB110</f>
        <v>-2020.15</v>
      </c>
      <c r="AC66" s="8">
        <f>'Model inputs'!AC22-'Model inputs'!AC110</f>
        <v>-2020.15</v>
      </c>
      <c r="AD66" s="8">
        <f>'Model inputs'!AD22-'Model inputs'!AD110</f>
        <v>-2020.15</v>
      </c>
      <c r="AE66" s="8">
        <f>'Model inputs'!AE22-'Model inputs'!AE110</f>
        <v>-2020.15</v>
      </c>
      <c r="AF66" s="8">
        <f>'Model inputs'!AF22-'Model inputs'!AF110</f>
        <v>-2020.15</v>
      </c>
      <c r="AG66" s="8">
        <f>'Model inputs'!AG22-'Model inputs'!AG110</f>
        <v>-2020.15</v>
      </c>
      <c r="AH66" s="8">
        <f>'Model inputs'!AH22-'Model inputs'!AH110</f>
        <v>-2020.15</v>
      </c>
    </row>
    <row r="67">
      <c r="A67" t="inlineStr" s="11">
        <is>
          <t xml:space="preserve">Net cash flow with salary · Growth · $0.60</t>
        </is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f>'Model inputs'!K23-'Model inputs'!K111</f>
        <v>-2170</v>
      </c>
      <c r="L67" s="8">
        <f>'Model inputs'!L23-'Model inputs'!L111</f>
        <v>-2252.875</v>
      </c>
      <c r="M67" s="8">
        <f>'Model inputs'!M23-'Model inputs'!M111</f>
        <v>-1902.56875</v>
      </c>
      <c r="N67" s="8">
        <f>'Model inputs'!N23-'Model inputs'!N111</f>
        <v>-1835.7109375</v>
      </c>
      <c r="O67" s="8">
        <f>'Model inputs'!O23-'Model inputs'!O111</f>
        <v>-1752.138671875</v>
      </c>
      <c r="P67" s="8">
        <f>'Model inputs'!P23-'Model inputs'!P111</f>
        <v>-1647.67333984375</v>
      </c>
      <c r="Q67" s="8">
        <f>'Model inputs'!Q23-'Model inputs'!Q111</f>
        <v>-1517.0916748046875</v>
      </c>
      <c r="R67" s="8">
        <f>'Model inputs'!R23-'Model inputs'!R111</f>
        <v>-1353.8645935058594</v>
      </c>
      <c r="S67" s="8">
        <f>'Model inputs'!S23-'Model inputs'!S111</f>
        <v>-1149.8307418823242</v>
      </c>
      <c r="T67" s="8">
        <f>'Model inputs'!T23-'Model inputs'!T111</f>
        <v>-894.7884273529053</v>
      </c>
      <c r="U67" s="8">
        <f>'Model inputs'!U23-'Model inputs'!U111</f>
        <v>-575.9855341911316</v>
      </c>
      <c r="V67" s="8">
        <f>'Model inputs'!V23-'Model inputs'!V111</f>
        <v>-177.4819177389145</v>
      </c>
      <c r="W67" s="8">
        <f>'Model inputs'!W23-'Model inputs'!W111</f>
        <v>320.6476028263569</v>
      </c>
      <c r="X67" s="8">
        <f>'Model inputs'!X23-'Model inputs'!X111</f>
        <v>1184.5074984431267</v>
      </c>
      <c r="Y67" s="8">
        <f>'Model inputs'!Y23-'Model inputs'!Y111</f>
        <v>1184.5074984431267</v>
      </c>
      <c r="Z67" s="8">
        <f>'Model inputs'!Z23-'Model inputs'!Z111</f>
        <v>1184.5074984431267</v>
      </c>
      <c r="AA67" s="8">
        <f>'Model inputs'!AA23-'Model inputs'!AA111</f>
        <v>1184.5074984431267</v>
      </c>
      <c r="AB67" s="8">
        <f>'Model inputs'!AB23-'Model inputs'!AB111</f>
        <v>1184.5074984431267</v>
      </c>
      <c r="AC67" s="8">
        <f>'Model inputs'!AC23-'Model inputs'!AC111</f>
        <v>1184.5074984431267</v>
      </c>
      <c r="AD67" s="8">
        <f>'Model inputs'!AD23-'Model inputs'!AD111</f>
        <v>1184.5074984431267</v>
      </c>
      <c r="AE67" s="8">
        <f>'Model inputs'!AE23-'Model inputs'!AE111</f>
        <v>1184.5074984431267</v>
      </c>
      <c r="AF67" s="8">
        <f>'Model inputs'!AF23-'Model inputs'!AF111</f>
        <v>1184.5074984431267</v>
      </c>
      <c r="AG67" s="8">
        <f>'Model inputs'!AG23-'Model inputs'!AG111</f>
        <v>1184.5074984431267</v>
      </c>
      <c r="AH67" s="8">
        <f>'Model inputs'!AH23-'Model inputs'!AH111</f>
        <v>1184.5074984431267</v>
      </c>
    </row>
    <row r="68">
      <c r="A68" t="inlineStr" s="11">
        <is>
          <t xml:space="preserve">Net cash flow with salary · Base · $0.60</t>
        </is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f>'Model inputs'!K24-'Model inputs'!K112</f>
        <v>-2170</v>
      </c>
      <c r="L68" s="8">
        <f>'Model inputs'!L24-'Model inputs'!L112</f>
        <v>-2252.875</v>
      </c>
      <c r="M68" s="8">
        <f>'Model inputs'!M24-'Model inputs'!M112</f>
        <v>-1881.85</v>
      </c>
      <c r="N68" s="8">
        <f>'Model inputs'!N24-'Model inputs'!N112</f>
        <v>-1881.85</v>
      </c>
      <c r="O68" s="8">
        <f>'Model inputs'!O24-'Model inputs'!O112</f>
        <v>-1881.85</v>
      </c>
      <c r="P68" s="8">
        <f>'Model inputs'!P24-'Model inputs'!P112</f>
        <v>-1881.85</v>
      </c>
      <c r="Q68" s="8">
        <f>'Model inputs'!Q24-'Model inputs'!Q112</f>
        <v>-1881.85</v>
      </c>
      <c r="R68" s="8">
        <f>'Model inputs'!R24-'Model inputs'!R112</f>
        <v>-1881.85</v>
      </c>
      <c r="S68" s="8">
        <f>'Model inputs'!S24-'Model inputs'!S112</f>
        <v>-1881.85</v>
      </c>
      <c r="T68" s="8">
        <f>'Model inputs'!T24-'Model inputs'!T112</f>
        <v>-1881.85</v>
      </c>
      <c r="U68" s="8">
        <f>'Model inputs'!U24-'Model inputs'!U112</f>
        <v>-1881.85</v>
      </c>
      <c r="V68" s="8">
        <f>'Model inputs'!V24-'Model inputs'!V112</f>
        <v>-1881.85</v>
      </c>
      <c r="W68" s="8">
        <f>'Model inputs'!W24-'Model inputs'!W112</f>
        <v>-1881.85</v>
      </c>
      <c r="X68" s="8">
        <f>'Model inputs'!X24-'Model inputs'!X112</f>
        <v>-1881.85</v>
      </c>
      <c r="Y68" s="8">
        <f>'Model inputs'!Y24-'Model inputs'!Y112</f>
        <v>-1881.85</v>
      </c>
      <c r="Z68" s="8">
        <f>'Model inputs'!Z24-'Model inputs'!Z112</f>
        <v>-1881.85</v>
      </c>
      <c r="AA68" s="8">
        <f>'Model inputs'!AA24-'Model inputs'!AA112</f>
        <v>-1881.85</v>
      </c>
      <c r="AB68" s="8">
        <f>'Model inputs'!AB24-'Model inputs'!AB112</f>
        <v>-1881.85</v>
      </c>
      <c r="AC68" s="8">
        <f>'Model inputs'!AC24-'Model inputs'!AC112</f>
        <v>-1881.85</v>
      </c>
      <c r="AD68" s="8">
        <f>'Model inputs'!AD24-'Model inputs'!AD112</f>
        <v>-1881.85</v>
      </c>
      <c r="AE68" s="8">
        <f>'Model inputs'!AE24-'Model inputs'!AE112</f>
        <v>-1881.85</v>
      </c>
      <c r="AF68" s="8">
        <f>'Model inputs'!AF24-'Model inputs'!AF112</f>
        <v>-1881.85</v>
      </c>
      <c r="AG68" s="8">
        <f>'Model inputs'!AG24-'Model inputs'!AG112</f>
        <v>-1881.85</v>
      </c>
      <c r="AH68" s="8">
        <f>'Model inputs'!AH24-'Model inputs'!AH112</f>
        <v>-1881.85</v>
      </c>
    </row>
    <row r="69">
      <c r="A69" t="inlineStr" s="11">
        <is>
          <t xml:space="preserve">Net cash flow with salary · Growth · $0.34</t>
        </is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f>'Model inputs'!K25-'Model inputs'!K113</f>
        <v>-2170</v>
      </c>
      <c r="L69" s="8">
        <f>'Model inputs'!L25-'Model inputs'!L113</f>
        <v>-2267.5</v>
      </c>
      <c r="M69" s="8">
        <f>'Model inputs'!M25-'Model inputs'!M113</f>
        <v>-2044.525</v>
      </c>
      <c r="N69" s="8">
        <f>'Model inputs'!N25-'Model inputs'!N113</f>
        <v>-2013.15625</v>
      </c>
      <c r="O69" s="8">
        <f>'Model inputs'!O25-'Model inputs'!O113</f>
        <v>-1973.9453125</v>
      </c>
      <c r="P69" s="8">
        <f>'Model inputs'!P25-'Model inputs'!P113</f>
        <v>-1924.931640625</v>
      </c>
      <c r="Q69" s="8">
        <f>'Model inputs'!Q25-'Model inputs'!Q113</f>
        <v>-1863.66455078125</v>
      </c>
      <c r="R69" s="8">
        <f>'Model inputs'!R25-'Model inputs'!R113</f>
        <v>-1787.0806884765625</v>
      </c>
      <c r="S69" s="8">
        <f>'Model inputs'!S25-'Model inputs'!S113</f>
        <v>-1691.3508605957031</v>
      </c>
      <c r="T69" s="8">
        <f>'Model inputs'!T25-'Model inputs'!T113</f>
        <v>-1571.688575744629</v>
      </c>
      <c r="U69" s="8">
        <f>'Model inputs'!U25-'Model inputs'!U113</f>
        <v>-1422.1107196807861</v>
      </c>
      <c r="V69" s="8">
        <f>'Model inputs'!V25-'Model inputs'!V113</f>
        <v>-1235.1383996009824</v>
      </c>
      <c r="W69" s="8">
        <f>'Model inputs'!W25-'Model inputs'!W113</f>
        <v>-1001.4229995012283</v>
      </c>
      <c r="X69" s="8">
        <f>'Model inputs'!X25-'Model inputs'!X113</f>
        <v>-425.5164024233818</v>
      </c>
      <c r="Y69" s="8">
        <f>'Model inputs'!Y25-'Model inputs'!Y113</f>
        <v>-425.5164024233818</v>
      </c>
      <c r="Z69" s="8">
        <f>'Model inputs'!Z25-'Model inputs'!Z113</f>
        <v>-425.5164024233818</v>
      </c>
      <c r="AA69" s="8">
        <f>'Model inputs'!AA25-'Model inputs'!AA113</f>
        <v>-425.5164024233818</v>
      </c>
      <c r="AB69" s="8">
        <f>'Model inputs'!AB25-'Model inputs'!AB113</f>
        <v>-425.5164024233818</v>
      </c>
      <c r="AC69" s="8">
        <f>'Model inputs'!AC25-'Model inputs'!AC113</f>
        <v>-425.5164024233818</v>
      </c>
      <c r="AD69" s="8">
        <f>'Model inputs'!AD25-'Model inputs'!AD113</f>
        <v>-425.5164024233818</v>
      </c>
      <c r="AE69" s="8">
        <f>'Model inputs'!AE25-'Model inputs'!AE113</f>
        <v>-425.5164024233818</v>
      </c>
      <c r="AF69" s="8">
        <f>'Model inputs'!AF25-'Model inputs'!AF113</f>
        <v>-425.5164024233818</v>
      </c>
      <c r="AG69" s="8">
        <f>'Model inputs'!AG25-'Model inputs'!AG113</f>
        <v>-425.5164024233818</v>
      </c>
      <c r="AH69" s="8">
        <f>'Model inputs'!AH25-'Model inputs'!AH113</f>
        <v>-425.5164024233818</v>
      </c>
    </row>
    <row r="70">
      <c r="A70" t="inlineStr" s="11">
        <is>
          <t xml:space="preserve">Price per verified fix · Revenue · Main Scenario · Main Scenario</t>
        </is>
      </c>
      <c r="AI70" s="8">
        <f>0.34</f>
        <v>0.34</v>
      </c>
    </row>
    <row r="71">
      <c r="A71" t="inlineStr" s="11">
        <is>
          <t xml:space="preserve">Price per verified fix · Revenue · Growth · $0.60 · Growth · $0.60</t>
        </is>
      </c>
      <c r="AI71" s="8">
        <f>0.6</f>
        <v>0.6</v>
      </c>
    </row>
    <row r="72">
      <c r="A72" t="inlineStr" s="11">
        <is>
          <t xml:space="preserve">Price per verified fix · Revenue · Base · $0.60 · Base · $0.60</t>
        </is>
      </c>
      <c r="AI72" s="8">
        <f>0.6</f>
        <v>0.6</v>
      </c>
    </row>
    <row r="73">
      <c r="A73" t="inlineStr" s="11">
        <is>
          <t xml:space="preserve">Price per verified fix · Revenue · Growth · $0.34 · Growth · $0.34</t>
        </is>
      </c>
      <c r="AI73" s="8">
        <f>'Model inputs'!AI70</f>
        <v>0.34</v>
      </c>
    </row>
    <row r="74">
      <c r="A74" t="inlineStr" s="11">
        <is>
          <t xml:space="preserve">Starting cash · Main Scenario</t>
        </is>
      </c>
      <c r="AI74" s="8">
        <f>3000</f>
        <v>3000</v>
      </c>
    </row>
    <row r="75">
      <c r="A75" t="inlineStr" s="11">
        <is>
          <t xml:space="preserve">Starting cash · Growth · $0.60</t>
        </is>
      </c>
      <c r="AI75" s="8">
        <f>'Model inputs'!AI74</f>
        <v>3000</v>
      </c>
    </row>
    <row r="76">
      <c r="A76" t="inlineStr" s="11">
        <is>
          <t xml:space="preserve">Starting cash · Base · $0.60</t>
        </is>
      </c>
      <c r="AI76" s="8">
        <f>'Model inputs'!AI74</f>
        <v>3000</v>
      </c>
    </row>
    <row r="77">
      <c r="A77" t="inlineStr" s="11">
        <is>
          <t xml:space="preserve">Starting cash · Growth · $0.34</t>
        </is>
      </c>
      <c r="AI77" s="8">
        <f>'Model inputs'!AI74</f>
        <v>3000</v>
      </c>
    </row>
    <row r="78">
      <c r="A78" t="inlineStr" s="11">
        <is>
          <t xml:space="preserve">Verified fixes · Main Scenario</t>
        </is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'Model inputs'!K18*'Model inputs'!AI126</f>
        <v>0</v>
      </c>
      <c r="L78" s="8">
        <f>'Model inputs'!L18*'Model inputs'!AI126</f>
        <v>750</v>
      </c>
      <c r="M78" s="8">
        <f>'Model inputs'!M18*'Model inputs'!AI126</f>
        <v>750</v>
      </c>
      <c r="N78" s="8">
        <f>'Model inputs'!N18*'Model inputs'!AI126</f>
        <v>750</v>
      </c>
      <c r="O78" s="8">
        <f>'Model inputs'!O18*'Model inputs'!AI126</f>
        <v>750</v>
      </c>
      <c r="P78" s="8">
        <f>'Model inputs'!P18*'Model inputs'!AI126</f>
        <v>750</v>
      </c>
      <c r="Q78" s="8">
        <f>'Model inputs'!Q18*'Model inputs'!AI126</f>
        <v>750</v>
      </c>
      <c r="R78" s="8">
        <f>'Model inputs'!R18*'Model inputs'!AI126</f>
        <v>750</v>
      </c>
      <c r="S78" s="8">
        <f>'Model inputs'!S18*'Model inputs'!AI126</f>
        <v>750</v>
      </c>
      <c r="T78" s="8">
        <f>'Model inputs'!T18*'Model inputs'!AI126</f>
        <v>750</v>
      </c>
      <c r="U78" s="8">
        <f>'Model inputs'!U18*'Model inputs'!AI126</f>
        <v>750</v>
      </c>
      <c r="V78" s="8">
        <f>'Model inputs'!V18*'Model inputs'!AI126</f>
        <v>750</v>
      </c>
      <c r="W78" s="8">
        <f>'Model inputs'!W18*'Model inputs'!AI126</f>
        <v>750</v>
      </c>
      <c r="X78" s="8">
        <f>'Model inputs'!X18*'Model inputs'!AI126</f>
        <v>750</v>
      </c>
      <c r="Y78" s="8">
        <f>'Model inputs'!Y18*'Model inputs'!AI126</f>
        <v>750</v>
      </c>
      <c r="Z78" s="8">
        <f>'Model inputs'!Z18*'Model inputs'!AI126</f>
        <v>750</v>
      </c>
      <c r="AA78" s="8">
        <f>'Model inputs'!AA18*'Model inputs'!AI126</f>
        <v>750</v>
      </c>
      <c r="AB78" s="8">
        <f>'Model inputs'!AB18*'Model inputs'!AI126</f>
        <v>750</v>
      </c>
      <c r="AC78" s="8">
        <f>'Model inputs'!AC18*'Model inputs'!AI126</f>
        <v>750</v>
      </c>
      <c r="AD78" s="8">
        <f>'Model inputs'!AD18*'Model inputs'!AI126</f>
        <v>750</v>
      </c>
      <c r="AE78" s="8">
        <f>'Model inputs'!AE18*'Model inputs'!AI126</f>
        <v>750</v>
      </c>
      <c r="AF78" s="8">
        <f>'Model inputs'!AF18*'Model inputs'!AI126</f>
        <v>750</v>
      </c>
      <c r="AG78" s="8">
        <f>'Model inputs'!AG18*'Model inputs'!AI126</f>
        <v>750</v>
      </c>
      <c r="AH78" s="8">
        <f>'Model inputs'!AH18*'Model inputs'!AI126</f>
        <v>750</v>
      </c>
    </row>
    <row r="79">
      <c r="A79" t="inlineStr" s="11">
        <is>
          <t xml:space="preserve">Verified fixes · Growth · $0.60</t>
        </is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f>'Model inputs'!K19*'Model inputs'!AI127</f>
        <v>0</v>
      </c>
      <c r="L79" s="8">
        <f>'Model inputs'!L19*'Model inputs'!AI127</f>
        <v>637.5</v>
      </c>
      <c r="M79" s="8">
        <f>'Model inputs'!M19*'Model inputs'!AI127</f>
        <v>796.875</v>
      </c>
      <c r="N79" s="8">
        <f>'Model inputs'!N19*'Model inputs'!AI127</f>
        <v>996.09375</v>
      </c>
      <c r="O79" s="8">
        <f>'Model inputs'!O19*'Model inputs'!AI127</f>
        <v>1245.1171875</v>
      </c>
      <c r="P79" s="8">
        <f>'Model inputs'!P19*'Model inputs'!AI127</f>
        <v>1556.396484375</v>
      </c>
      <c r="Q79" s="8">
        <f>'Model inputs'!Q19*'Model inputs'!AI127</f>
        <v>1945.49560546875</v>
      </c>
      <c r="R79" s="8">
        <f>'Model inputs'!R19*'Model inputs'!AI127</f>
        <v>2431.8695068359375</v>
      </c>
      <c r="S79" s="8">
        <f>'Model inputs'!S19*'Model inputs'!AI127</f>
        <v>3039.836883544922</v>
      </c>
      <c r="T79" s="8">
        <f>'Model inputs'!T19*'Model inputs'!AI127</f>
        <v>3799.7961044311523</v>
      </c>
      <c r="U79" s="8">
        <f>'Model inputs'!U19*'Model inputs'!AI127</f>
        <v>4749.74513053894</v>
      </c>
      <c r="V79" s="8">
        <f>'Model inputs'!V19*'Model inputs'!AI127</f>
        <v>5937.1814131736755</v>
      </c>
      <c r="W79" s="8">
        <f>'Model inputs'!W19*'Model inputs'!AI127</f>
        <v>7421.476766467094</v>
      </c>
      <c r="X79" s="8">
        <f>'Model inputs'!X19*'Model inputs'!AI127</f>
        <v>7421.476766467094</v>
      </c>
      <c r="Y79" s="8">
        <f>'Model inputs'!Y19*'Model inputs'!AI127</f>
        <v>7421.476766467094</v>
      </c>
      <c r="Z79" s="8">
        <f>'Model inputs'!Z19*'Model inputs'!AI127</f>
        <v>7421.476766467094</v>
      </c>
      <c r="AA79" s="8">
        <f>'Model inputs'!AA19*'Model inputs'!AI127</f>
        <v>7421.476766467094</v>
      </c>
      <c r="AB79" s="8">
        <f>'Model inputs'!AB19*'Model inputs'!AI127</f>
        <v>7421.476766467094</v>
      </c>
      <c r="AC79" s="8">
        <f>'Model inputs'!AC19*'Model inputs'!AI127</f>
        <v>7421.476766467094</v>
      </c>
      <c r="AD79" s="8">
        <f>'Model inputs'!AD19*'Model inputs'!AI127</f>
        <v>7421.476766467094</v>
      </c>
      <c r="AE79" s="8">
        <f>'Model inputs'!AE19*'Model inputs'!AI127</f>
        <v>7421.476766467094</v>
      </c>
      <c r="AF79" s="8">
        <f>'Model inputs'!AF19*'Model inputs'!AI127</f>
        <v>7421.476766467094</v>
      </c>
      <c r="AG79" s="8">
        <f>'Model inputs'!AG19*'Model inputs'!AI127</f>
        <v>7421.476766467094</v>
      </c>
      <c r="AH79" s="8">
        <f>'Model inputs'!AH19*'Model inputs'!AI127</f>
        <v>7421.476766467094</v>
      </c>
    </row>
    <row r="80">
      <c r="A80" t="inlineStr" s="11">
        <is>
          <t xml:space="preserve">Verified fixes · Base · $0.60</t>
        </is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f>'Model inputs'!K20*'Model inputs'!AI128</f>
        <v>0</v>
      </c>
      <c r="L80" s="8">
        <f>'Model inputs'!L20*'Model inputs'!AI128</f>
        <v>637.5</v>
      </c>
      <c r="M80" s="8">
        <f>'Model inputs'!M20*'Model inputs'!AI128</f>
        <v>637.5</v>
      </c>
      <c r="N80" s="8">
        <f>'Model inputs'!N20*'Model inputs'!AI128</f>
        <v>637.5</v>
      </c>
      <c r="O80" s="8">
        <f>'Model inputs'!O20*'Model inputs'!AI128</f>
        <v>637.5</v>
      </c>
      <c r="P80" s="8">
        <f>'Model inputs'!P20*'Model inputs'!AI128</f>
        <v>637.5</v>
      </c>
      <c r="Q80" s="8">
        <f>'Model inputs'!Q20*'Model inputs'!AI128</f>
        <v>637.5</v>
      </c>
      <c r="R80" s="8">
        <f>'Model inputs'!R20*'Model inputs'!AI128</f>
        <v>637.5</v>
      </c>
      <c r="S80" s="8">
        <f>'Model inputs'!S20*'Model inputs'!AI128</f>
        <v>637.5</v>
      </c>
      <c r="T80" s="8">
        <f>'Model inputs'!T20*'Model inputs'!AI128</f>
        <v>637.5</v>
      </c>
      <c r="U80" s="8">
        <f>'Model inputs'!U20*'Model inputs'!AI128</f>
        <v>637.5</v>
      </c>
      <c r="V80" s="8">
        <f>'Model inputs'!V20*'Model inputs'!AI128</f>
        <v>637.5</v>
      </c>
      <c r="W80" s="8">
        <f>'Model inputs'!W20*'Model inputs'!AI128</f>
        <v>637.5</v>
      </c>
      <c r="X80" s="8">
        <f>'Model inputs'!X20*'Model inputs'!AI128</f>
        <v>637.5</v>
      </c>
      <c r="Y80" s="8">
        <f>'Model inputs'!Y20*'Model inputs'!AI128</f>
        <v>637.5</v>
      </c>
      <c r="Z80" s="8">
        <f>'Model inputs'!Z20*'Model inputs'!AI128</f>
        <v>637.5</v>
      </c>
      <c r="AA80" s="8">
        <f>'Model inputs'!AA20*'Model inputs'!AI128</f>
        <v>637.5</v>
      </c>
      <c r="AB80" s="8">
        <f>'Model inputs'!AB20*'Model inputs'!AI128</f>
        <v>637.5</v>
      </c>
      <c r="AC80" s="8">
        <f>'Model inputs'!AC20*'Model inputs'!AI128</f>
        <v>637.5</v>
      </c>
      <c r="AD80" s="8">
        <f>'Model inputs'!AD20*'Model inputs'!AI128</f>
        <v>637.5</v>
      </c>
      <c r="AE80" s="8">
        <f>'Model inputs'!AE20*'Model inputs'!AI128</f>
        <v>637.5</v>
      </c>
      <c r="AF80" s="8">
        <f>'Model inputs'!AF20*'Model inputs'!AI128</f>
        <v>637.5</v>
      </c>
      <c r="AG80" s="8">
        <f>'Model inputs'!AG20*'Model inputs'!AI128</f>
        <v>637.5</v>
      </c>
      <c r="AH80" s="8">
        <f>'Model inputs'!AH20*'Model inputs'!AI128</f>
        <v>637.5</v>
      </c>
    </row>
    <row r="81">
      <c r="A81" t="inlineStr" s="11">
        <is>
          <t xml:space="preserve">Verified fixes · Growth · $0.34</t>
        </is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f>'Model inputs'!K21*'Model inputs'!AI129</f>
        <v>0</v>
      </c>
      <c r="L81" s="8">
        <f>'Model inputs'!L21*'Model inputs'!AI129</f>
        <v>750</v>
      </c>
      <c r="M81" s="8">
        <f>'Model inputs'!M21*'Model inputs'!AI129</f>
        <v>937.5</v>
      </c>
      <c r="N81" s="8">
        <f>'Model inputs'!N21*'Model inputs'!AI129</f>
        <v>1171.875</v>
      </c>
      <c r="O81" s="8">
        <f>'Model inputs'!O21*'Model inputs'!AI129</f>
        <v>1464.84375</v>
      </c>
      <c r="P81" s="8">
        <f>'Model inputs'!P21*'Model inputs'!AI129</f>
        <v>1831.0546875</v>
      </c>
      <c r="Q81" s="8">
        <f>'Model inputs'!Q21*'Model inputs'!AI129</f>
        <v>2288.818359375</v>
      </c>
      <c r="R81" s="8">
        <f>'Model inputs'!R21*'Model inputs'!AI129</f>
        <v>2861.02294921875</v>
      </c>
      <c r="S81" s="8">
        <f>'Model inputs'!S21*'Model inputs'!AI129</f>
        <v>3576.2786865234375</v>
      </c>
      <c r="T81" s="8">
        <f>'Model inputs'!T21*'Model inputs'!AI129</f>
        <v>4470.348358154297</v>
      </c>
      <c r="U81" s="8">
        <f>'Model inputs'!U21*'Model inputs'!AI129</f>
        <v>5587.935447692871</v>
      </c>
      <c r="V81" s="8">
        <f>'Model inputs'!V21*'Model inputs'!AI129</f>
        <v>6984.919309616089</v>
      </c>
      <c r="W81" s="8">
        <f>'Model inputs'!W21*'Model inputs'!AI129</f>
        <v>8731.149137020111</v>
      </c>
      <c r="X81" s="8">
        <f>'Model inputs'!X21*'Model inputs'!AI129</f>
        <v>8731.149137020111</v>
      </c>
      <c r="Y81" s="8">
        <f>'Model inputs'!Y21*'Model inputs'!AI129</f>
        <v>8731.149137020111</v>
      </c>
      <c r="Z81" s="8">
        <f>'Model inputs'!Z21*'Model inputs'!AI129</f>
        <v>8731.149137020111</v>
      </c>
      <c r="AA81" s="8">
        <f>'Model inputs'!AA21*'Model inputs'!AI129</f>
        <v>8731.149137020111</v>
      </c>
      <c r="AB81" s="8">
        <f>'Model inputs'!AB21*'Model inputs'!AI129</f>
        <v>8731.149137020111</v>
      </c>
      <c r="AC81" s="8">
        <f>'Model inputs'!AC21*'Model inputs'!AI129</f>
        <v>8731.149137020111</v>
      </c>
      <c r="AD81" s="8">
        <f>'Model inputs'!AD21*'Model inputs'!AI129</f>
        <v>8731.149137020111</v>
      </c>
      <c r="AE81" s="8">
        <f>'Model inputs'!AE21*'Model inputs'!AI129</f>
        <v>8731.149137020111</v>
      </c>
      <c r="AF81" s="8">
        <f>'Model inputs'!AF21*'Model inputs'!AI129</f>
        <v>8731.149137020111</v>
      </c>
      <c r="AG81" s="8">
        <f>'Model inputs'!AG21*'Model inputs'!AI129</f>
        <v>8731.149137020111</v>
      </c>
      <c r="AH81" s="8">
        <f>'Model inputs'!AH21*'Model inputs'!AI129</f>
        <v>8731.149137020111</v>
      </c>
    </row>
    <row r="82">
      <c r="A82" t="inlineStr" s="11">
        <is>
          <t xml:space="preserve">Volume vs $0.34 price · Main Scenario</t>
        </is>
      </c>
      <c r="AI82" s="8">
        <f>1</f>
        <v>1</v>
      </c>
    </row>
    <row r="83">
      <c r="A83" t="inlineStr" s="11">
        <is>
          <t xml:space="preserve">Volume vs $0.34 price · Growth · $0.60</t>
        </is>
      </c>
      <c r="AI83" s="8">
        <f>0.85</f>
        <v>0.85</v>
      </c>
    </row>
    <row r="84">
      <c r="A84" t="inlineStr" s="11">
        <is>
          <t xml:space="preserve">Volume vs $0.34 price · Base · $0.60</t>
        </is>
      </c>
      <c r="AI84" s="8">
        <f>0.85</f>
        <v>0.85</v>
      </c>
    </row>
    <row r="85">
      <c r="A85" t="inlineStr" s="11">
        <is>
          <t xml:space="preserve">Volume vs $0.34 price · Growth · $0.34</t>
        </is>
      </c>
      <c r="AI85" s="8">
        <f>'Model inputs'!AI82</f>
        <v>1</v>
      </c>
    </row>
    <row r="86">
      <c r="A86" t="inlineStr" s="11">
        <is>
          <t xml:space="preserve">All-in cost per verified fix · Model usage cost · Main Scenario · Main Scenario</t>
        </is>
      </c>
      <c r="AI86" s="8">
        <f>0.13</f>
        <v>0.13</v>
      </c>
    </row>
    <row r="87">
      <c r="A87" t="inlineStr" s="11">
        <is>
          <t xml:space="preserve">All-in cost per verified fix · Model usage cost · Growth · $0.60 · Growth · $0.60</t>
        </is>
      </c>
      <c r="AI87" s="8">
        <f>'Model inputs'!AI86</f>
        <v>0.13</v>
      </c>
    </row>
    <row r="88">
      <c r="A88" t="inlineStr" s="11">
        <is>
          <t xml:space="preserve">All-in cost per verified fix · Model usage cost · Base · $0.60 · Base · $0.60</t>
        </is>
      </c>
      <c r="AI88" s="8">
        <f>'Model inputs'!AI86</f>
        <v>0.13</v>
      </c>
    </row>
    <row r="89">
      <c r="A89" t="inlineStr" s="11">
        <is>
          <t xml:space="preserve">All-in cost per verified fix · Model usage cost · Growth · $0.34 · Growth · $0.34</t>
        </is>
      </c>
      <c r="AI89" s="8">
        <f>'Model inputs'!AI86</f>
        <v>0.13</v>
      </c>
    </row>
    <row r="90">
      <c r="A90" t="inlineStr" s="11">
        <is>
          <t xml:space="preserve">Fixed costs</t>
        </is>
      </c>
      <c r="B90" s="6">
        <f>IF('Model inputs'!B42="","",'Model inputs'!B42)</f>
        <v>0</v>
      </c>
      <c r="C90" s="6">
        <f>IF('Model inputs'!C42="","",'Model inputs'!C42)</f>
        <v>0</v>
      </c>
      <c r="D90" s="6">
        <f>IF('Model inputs'!D42="","",'Model inputs'!D42)</f>
        <v>0</v>
      </c>
      <c r="E90" s="6">
        <f>IF('Model inputs'!E42="","",'Model inputs'!E42)</f>
        <v>0</v>
      </c>
      <c r="F90" s="6">
        <f>IF('Model inputs'!F42="","",'Model inputs'!F42)</f>
        <v>0</v>
      </c>
      <c r="G90" s="6">
        <f>IF('Model inputs'!G42="","",'Model inputs'!G42)</f>
        <v>0</v>
      </c>
      <c r="H90" s="6">
        <f>IF('Model inputs'!H42="","",'Model inputs'!H42)</f>
        <v>0</v>
      </c>
      <c r="I90" s="6">
        <f>IF('Model inputs'!I42="","",'Model inputs'!I42)</f>
        <v>0</v>
      </c>
      <c r="J90" s="6">
        <f>IF('Model inputs'!J42="","",'Model inputs'!J42)</f>
        <v>0</v>
      </c>
      <c r="K90" s="6">
        <f>IF('Model inputs'!K42="","",'Model inputs'!K42)</f>
        <v>170</v>
      </c>
      <c r="L90" s="6">
        <f>IF('Model inputs'!L42="","",'Model inputs'!L42)</f>
        <v>170</v>
      </c>
      <c r="M90" s="6">
        <f>IF('Model inputs'!M42="","",'Model inputs'!M42)</f>
        <v>170</v>
      </c>
      <c r="N90" s="6">
        <f>IF('Model inputs'!N42="","",'Model inputs'!N42)</f>
        <v>170</v>
      </c>
      <c r="O90" s="6">
        <f>IF('Model inputs'!O42="","",'Model inputs'!O42)</f>
        <v>170</v>
      </c>
      <c r="P90" s="6">
        <f>IF('Model inputs'!P42="","",'Model inputs'!P42)</f>
        <v>170</v>
      </c>
      <c r="Q90" s="6">
        <f>IF('Model inputs'!Q42="","",'Model inputs'!Q42)</f>
        <v>170</v>
      </c>
      <c r="R90" s="6">
        <f>IF('Model inputs'!R42="","",'Model inputs'!R42)</f>
        <v>170</v>
      </c>
      <c r="S90" s="6">
        <f>IF('Model inputs'!S42="","",'Model inputs'!S42)</f>
        <v>170</v>
      </c>
      <c r="T90" s="6">
        <f>IF('Model inputs'!T42="","",'Model inputs'!T42)</f>
        <v>170</v>
      </c>
      <c r="U90" s="6">
        <f>IF('Model inputs'!U42="","",'Model inputs'!U42)</f>
        <v>170</v>
      </c>
      <c r="V90" s="6">
        <f>IF('Model inputs'!V42="","",'Model inputs'!V42)</f>
        <v>170</v>
      </c>
      <c r="W90" s="6">
        <f>IF('Model inputs'!W42="","",'Model inputs'!W42)</f>
        <v>170</v>
      </c>
      <c r="X90" s="6">
        <f>IF('Model inputs'!X42="","",'Model inputs'!X42)</f>
        <v>170</v>
      </c>
      <c r="Y90" s="6">
        <f>IF('Model inputs'!Y42="","",'Model inputs'!Y42)</f>
        <v>170</v>
      </c>
      <c r="Z90" s="6">
        <f>IF('Model inputs'!Z42="","",'Model inputs'!Z42)</f>
        <v>170</v>
      </c>
      <c r="AA90" s="6">
        <f>IF('Model inputs'!AA42="","",'Model inputs'!AA42)</f>
        <v>170</v>
      </c>
      <c r="AB90" s="6">
        <f>IF('Model inputs'!AB42="","",'Model inputs'!AB42)</f>
        <v>170</v>
      </c>
      <c r="AC90" s="6">
        <f>IF('Model inputs'!AC42="","",'Model inputs'!AC42)</f>
        <v>170</v>
      </c>
      <c r="AD90" s="6">
        <f>IF('Model inputs'!AD42="","",'Model inputs'!AD42)</f>
        <v>170</v>
      </c>
      <c r="AE90" s="6">
        <f>IF('Model inputs'!AE42="","",'Model inputs'!AE42)</f>
        <v>170</v>
      </c>
      <c r="AF90" s="6">
        <f>IF('Model inputs'!AF42="","",'Model inputs'!AF42)</f>
        <v>170</v>
      </c>
      <c r="AG90" s="6">
        <f>IF('Model inputs'!AG42="","",'Model inputs'!AG42)</f>
        <v>170</v>
      </c>
      <c r="AH90" s="6">
        <f>IF('Model inputs'!AH42="","",'Model inputs'!AH42)</f>
        <v>170</v>
      </c>
    </row>
    <row r="91" outlineLevel="1">
      <c r="A91" t="inlineStr" s="12">
        <is>
          <t xml:space="preserve">Fixed costs &gt; Accounting, legal &amp; misc</t>
        </is>
      </c>
      <c r="B91" s="8">
        <f>0</f>
        <v>0</v>
      </c>
      <c r="C91" s="8">
        <f>0</f>
        <v>0</v>
      </c>
      <c r="D91" s="8">
        <f>0</f>
        <v>0</v>
      </c>
      <c r="E91" s="8">
        <f>0</f>
        <v>0</v>
      </c>
      <c r="F91" s="8">
        <f>0</f>
        <v>0</v>
      </c>
      <c r="G91" s="8">
        <f>0</f>
        <v>0</v>
      </c>
      <c r="H91" s="8">
        <f>0</f>
        <v>0</v>
      </c>
      <c r="I91" s="8">
        <f>0</f>
        <v>0</v>
      </c>
      <c r="J91" s="8">
        <f>0</f>
        <v>0</v>
      </c>
      <c r="K91" s="8">
        <f>IF('Model inputs'!AI135="","",'Model inputs'!AI135)</f>
        <v>50</v>
      </c>
      <c r="L91" s="8">
        <f>IF('Model inputs'!AI135="","",'Model inputs'!AI135)</f>
        <v>50</v>
      </c>
      <c r="M91" s="8">
        <f>IF('Model inputs'!AI135="","",'Model inputs'!AI135)</f>
        <v>50</v>
      </c>
      <c r="N91" s="8">
        <f>IF('Model inputs'!AI135="","",'Model inputs'!AI135)</f>
        <v>50</v>
      </c>
      <c r="O91" s="8">
        <f>IF('Model inputs'!AI135="","",'Model inputs'!AI135)</f>
        <v>50</v>
      </c>
      <c r="P91" s="8">
        <f>IF('Model inputs'!AI135="","",'Model inputs'!AI135)</f>
        <v>50</v>
      </c>
      <c r="Q91" s="8">
        <f>IF('Model inputs'!AI135="","",'Model inputs'!AI135)</f>
        <v>50</v>
      </c>
      <c r="R91" s="8">
        <f>IF('Model inputs'!AI135="","",'Model inputs'!AI135)</f>
        <v>50</v>
      </c>
      <c r="S91" s="8">
        <f>IF('Model inputs'!AI135="","",'Model inputs'!AI135)</f>
        <v>50</v>
      </c>
      <c r="T91" s="8">
        <f>IF('Model inputs'!AI135="","",'Model inputs'!AI135)</f>
        <v>50</v>
      </c>
      <c r="U91" s="8">
        <f>IF('Model inputs'!AI135="","",'Model inputs'!AI135)</f>
        <v>50</v>
      </c>
      <c r="V91" s="8">
        <f>IF('Model inputs'!AI135="","",'Model inputs'!AI135)</f>
        <v>50</v>
      </c>
      <c r="W91" s="8">
        <f>IF('Model inputs'!AI135="","",'Model inputs'!AI135)</f>
        <v>50</v>
      </c>
      <c r="X91" s="8">
        <f>IF('Model inputs'!AI135="","",'Model inputs'!AI135)</f>
        <v>50</v>
      </c>
      <c r="Y91" s="8">
        <f>IF('Model inputs'!AI135="","",'Model inputs'!AI135)</f>
        <v>50</v>
      </c>
      <c r="Z91" s="8">
        <f>IF('Model inputs'!AI135="","",'Model inputs'!AI135)</f>
        <v>50</v>
      </c>
      <c r="AA91" s="8">
        <f>IF('Model inputs'!AI135="","",'Model inputs'!AI135)</f>
        <v>50</v>
      </c>
      <c r="AB91" s="8">
        <f>IF('Model inputs'!AI135="","",'Model inputs'!AI135)</f>
        <v>50</v>
      </c>
      <c r="AC91" s="8">
        <f>IF('Model inputs'!AI135="","",'Model inputs'!AI135)</f>
        <v>50</v>
      </c>
      <c r="AD91" s="8">
        <f>IF('Model inputs'!AI135="","",'Model inputs'!AI135)</f>
        <v>50</v>
      </c>
      <c r="AE91" s="8">
        <f>IF('Model inputs'!AI135="","",'Model inputs'!AI135)</f>
        <v>50</v>
      </c>
      <c r="AF91" s="8">
        <f>IF('Model inputs'!AI135="","",'Model inputs'!AI135)</f>
        <v>50</v>
      </c>
      <c r="AG91" s="8">
        <f>IF('Model inputs'!AI135="","",'Model inputs'!AI135)</f>
        <v>50</v>
      </c>
      <c r="AH91" s="8">
        <f>IF('Model inputs'!AI135="","",'Model inputs'!AI135)</f>
        <v>50</v>
      </c>
    </row>
    <row r="92" outlineLevel="1">
      <c r="A92" t="inlineStr" s="12">
        <is>
          <t xml:space="preserve">Fixed costs &gt; Hosting</t>
        </is>
      </c>
      <c r="B92" s="8">
        <f>0</f>
        <v>0</v>
      </c>
      <c r="C92" s="8">
        <f>0</f>
        <v>0</v>
      </c>
      <c r="D92" s="8">
        <f>0</f>
        <v>0</v>
      </c>
      <c r="E92" s="8">
        <f>0</f>
        <v>0</v>
      </c>
      <c r="F92" s="8">
        <f>0</f>
        <v>0</v>
      </c>
      <c r="G92" s="8">
        <f>0</f>
        <v>0</v>
      </c>
      <c r="H92" s="8">
        <f>0</f>
        <v>0</v>
      </c>
      <c r="I92" s="8">
        <f>0</f>
        <v>0</v>
      </c>
      <c r="J92" s="8">
        <f>0</f>
        <v>0</v>
      </c>
      <c r="K92" s="8">
        <f>IF('Model inputs'!AI136="","",'Model inputs'!AI136)</f>
        <v>40</v>
      </c>
      <c r="L92" s="8">
        <f>IF('Model inputs'!AI136="","",'Model inputs'!AI136)</f>
        <v>40</v>
      </c>
      <c r="M92" s="8">
        <f>IF('Model inputs'!AI136="","",'Model inputs'!AI136)</f>
        <v>40</v>
      </c>
      <c r="N92" s="8">
        <f>IF('Model inputs'!AI136="","",'Model inputs'!AI136)</f>
        <v>40</v>
      </c>
      <c r="O92" s="8">
        <f>IF('Model inputs'!AI136="","",'Model inputs'!AI136)</f>
        <v>40</v>
      </c>
      <c r="P92" s="8">
        <f>IF('Model inputs'!AI136="","",'Model inputs'!AI136)</f>
        <v>40</v>
      </c>
      <c r="Q92" s="8">
        <f>IF('Model inputs'!AI136="","",'Model inputs'!AI136)</f>
        <v>40</v>
      </c>
      <c r="R92" s="8">
        <f>IF('Model inputs'!AI136="","",'Model inputs'!AI136)</f>
        <v>40</v>
      </c>
      <c r="S92" s="8">
        <f>IF('Model inputs'!AI136="","",'Model inputs'!AI136)</f>
        <v>40</v>
      </c>
      <c r="T92" s="8">
        <f>IF('Model inputs'!AI136="","",'Model inputs'!AI136)</f>
        <v>40</v>
      </c>
      <c r="U92" s="8">
        <f>IF('Model inputs'!AI136="","",'Model inputs'!AI136)</f>
        <v>40</v>
      </c>
      <c r="V92" s="8">
        <f>IF('Model inputs'!AI136="","",'Model inputs'!AI136)</f>
        <v>40</v>
      </c>
      <c r="W92" s="8">
        <f>IF('Model inputs'!AI136="","",'Model inputs'!AI136)</f>
        <v>40</v>
      </c>
      <c r="X92" s="8">
        <f>IF('Model inputs'!AI136="","",'Model inputs'!AI136)</f>
        <v>40</v>
      </c>
      <c r="Y92" s="8">
        <f>IF('Model inputs'!AI136="","",'Model inputs'!AI136)</f>
        <v>40</v>
      </c>
      <c r="Z92" s="8">
        <f>IF('Model inputs'!AI136="","",'Model inputs'!AI136)</f>
        <v>40</v>
      </c>
      <c r="AA92" s="8">
        <f>IF('Model inputs'!AI136="","",'Model inputs'!AI136)</f>
        <v>40</v>
      </c>
      <c r="AB92" s="8">
        <f>IF('Model inputs'!AI136="","",'Model inputs'!AI136)</f>
        <v>40</v>
      </c>
      <c r="AC92" s="8">
        <f>IF('Model inputs'!AI136="","",'Model inputs'!AI136)</f>
        <v>40</v>
      </c>
      <c r="AD92" s="8">
        <f>IF('Model inputs'!AI136="","",'Model inputs'!AI136)</f>
        <v>40</v>
      </c>
      <c r="AE92" s="8">
        <f>IF('Model inputs'!AI136="","",'Model inputs'!AI136)</f>
        <v>40</v>
      </c>
      <c r="AF92" s="8">
        <f>IF('Model inputs'!AI136="","",'Model inputs'!AI136)</f>
        <v>40</v>
      </c>
      <c r="AG92" s="8">
        <f>IF('Model inputs'!AI136="","",'Model inputs'!AI136)</f>
        <v>40</v>
      </c>
      <c r="AH92" s="8">
        <f>IF('Model inputs'!AI136="","",'Model inputs'!AI136)</f>
        <v>40</v>
      </c>
    </row>
    <row r="93" outlineLevel="1">
      <c r="A93" t="inlineStr" s="12">
        <is>
          <t xml:space="preserve">Fixed costs &gt; Observability</t>
        </is>
      </c>
      <c r="B93" s="8">
        <f>0</f>
        <v>0</v>
      </c>
      <c r="C93" s="8">
        <f>0</f>
        <v>0</v>
      </c>
      <c r="D93" s="8">
        <f>0</f>
        <v>0</v>
      </c>
      <c r="E93" s="8">
        <f>0</f>
        <v>0</v>
      </c>
      <c r="F93" s="8">
        <f>0</f>
        <v>0</v>
      </c>
      <c r="G93" s="8">
        <f>0</f>
        <v>0</v>
      </c>
      <c r="H93" s="8">
        <f>0</f>
        <v>0</v>
      </c>
      <c r="I93" s="8">
        <f>0</f>
        <v>0</v>
      </c>
      <c r="J93" s="8">
        <f>0</f>
        <v>0</v>
      </c>
      <c r="K93" s="8">
        <f>IF('Model inputs'!AI137="","",'Model inputs'!AI137)</f>
        <v>50</v>
      </c>
      <c r="L93" s="8">
        <f>IF('Model inputs'!AI137="","",'Model inputs'!AI137)</f>
        <v>50</v>
      </c>
      <c r="M93" s="8">
        <f>IF('Model inputs'!AI137="","",'Model inputs'!AI137)</f>
        <v>50</v>
      </c>
      <c r="N93" s="8">
        <f>IF('Model inputs'!AI137="","",'Model inputs'!AI137)</f>
        <v>50</v>
      </c>
      <c r="O93" s="8">
        <f>IF('Model inputs'!AI137="","",'Model inputs'!AI137)</f>
        <v>50</v>
      </c>
      <c r="P93" s="8">
        <f>IF('Model inputs'!AI137="","",'Model inputs'!AI137)</f>
        <v>50</v>
      </c>
      <c r="Q93" s="8">
        <f>IF('Model inputs'!AI137="","",'Model inputs'!AI137)</f>
        <v>50</v>
      </c>
      <c r="R93" s="8">
        <f>IF('Model inputs'!AI137="","",'Model inputs'!AI137)</f>
        <v>50</v>
      </c>
      <c r="S93" s="8">
        <f>IF('Model inputs'!AI137="","",'Model inputs'!AI137)</f>
        <v>50</v>
      </c>
      <c r="T93" s="8">
        <f>IF('Model inputs'!AI137="","",'Model inputs'!AI137)</f>
        <v>50</v>
      </c>
      <c r="U93" s="8">
        <f>IF('Model inputs'!AI137="","",'Model inputs'!AI137)</f>
        <v>50</v>
      </c>
      <c r="V93" s="8">
        <f>IF('Model inputs'!AI137="","",'Model inputs'!AI137)</f>
        <v>50</v>
      </c>
      <c r="W93" s="8">
        <f>IF('Model inputs'!AI137="","",'Model inputs'!AI137)</f>
        <v>50</v>
      </c>
      <c r="X93" s="8">
        <f>IF('Model inputs'!AI137="","",'Model inputs'!AI137)</f>
        <v>50</v>
      </c>
      <c r="Y93" s="8">
        <f>IF('Model inputs'!AI137="","",'Model inputs'!AI137)</f>
        <v>50</v>
      </c>
      <c r="Z93" s="8">
        <f>IF('Model inputs'!AI137="","",'Model inputs'!AI137)</f>
        <v>50</v>
      </c>
      <c r="AA93" s="8">
        <f>IF('Model inputs'!AI137="","",'Model inputs'!AI137)</f>
        <v>50</v>
      </c>
      <c r="AB93" s="8">
        <f>IF('Model inputs'!AI137="","",'Model inputs'!AI137)</f>
        <v>50</v>
      </c>
      <c r="AC93" s="8">
        <f>IF('Model inputs'!AI137="","",'Model inputs'!AI137)</f>
        <v>50</v>
      </c>
      <c r="AD93" s="8">
        <f>IF('Model inputs'!AI137="","",'Model inputs'!AI137)</f>
        <v>50</v>
      </c>
      <c r="AE93" s="8">
        <f>IF('Model inputs'!AI137="","",'Model inputs'!AI137)</f>
        <v>50</v>
      </c>
      <c r="AF93" s="8">
        <f>IF('Model inputs'!AI137="","",'Model inputs'!AI137)</f>
        <v>50</v>
      </c>
      <c r="AG93" s="8">
        <f>IF('Model inputs'!AI137="","",'Model inputs'!AI137)</f>
        <v>50</v>
      </c>
      <c r="AH93" s="8">
        <f>IF('Model inputs'!AI137="","",'Model inputs'!AI137)</f>
        <v>50</v>
      </c>
    </row>
    <row r="94" outlineLevel="1">
      <c r="A94" t="inlineStr" s="12">
        <is>
          <t xml:space="preserve">Fixed costs &gt; Tooling &amp; misc</t>
        </is>
      </c>
      <c r="B94" s="8">
        <f>0</f>
        <v>0</v>
      </c>
      <c r="C94" s="8">
        <f>0</f>
        <v>0</v>
      </c>
      <c r="D94" s="8">
        <f>0</f>
        <v>0</v>
      </c>
      <c r="E94" s="8">
        <f>0</f>
        <v>0</v>
      </c>
      <c r="F94" s="8">
        <f>0</f>
        <v>0</v>
      </c>
      <c r="G94" s="8">
        <f>0</f>
        <v>0</v>
      </c>
      <c r="H94" s="8">
        <f>0</f>
        <v>0</v>
      </c>
      <c r="I94" s="8">
        <f>0</f>
        <v>0</v>
      </c>
      <c r="J94" s="8">
        <f>0</f>
        <v>0</v>
      </c>
      <c r="K94" s="8">
        <f>IF('Model inputs'!AI138="","",'Model inputs'!AI138)</f>
        <v>30</v>
      </c>
      <c r="L94" s="8">
        <f>IF('Model inputs'!AI138="","",'Model inputs'!AI138)</f>
        <v>30</v>
      </c>
      <c r="M94" s="8">
        <f>IF('Model inputs'!AI138="","",'Model inputs'!AI138)</f>
        <v>30</v>
      </c>
      <c r="N94" s="8">
        <f>IF('Model inputs'!AI138="","",'Model inputs'!AI138)</f>
        <v>30</v>
      </c>
      <c r="O94" s="8">
        <f>IF('Model inputs'!AI138="","",'Model inputs'!AI138)</f>
        <v>30</v>
      </c>
      <c r="P94" s="8">
        <f>IF('Model inputs'!AI138="","",'Model inputs'!AI138)</f>
        <v>30</v>
      </c>
      <c r="Q94" s="8">
        <f>IF('Model inputs'!AI138="","",'Model inputs'!AI138)</f>
        <v>30</v>
      </c>
      <c r="R94" s="8">
        <f>IF('Model inputs'!AI138="","",'Model inputs'!AI138)</f>
        <v>30</v>
      </c>
      <c r="S94" s="8">
        <f>IF('Model inputs'!AI138="","",'Model inputs'!AI138)</f>
        <v>30</v>
      </c>
      <c r="T94" s="8">
        <f>IF('Model inputs'!AI138="","",'Model inputs'!AI138)</f>
        <v>30</v>
      </c>
      <c r="U94" s="8">
        <f>IF('Model inputs'!AI138="","",'Model inputs'!AI138)</f>
        <v>30</v>
      </c>
      <c r="V94" s="8">
        <f>IF('Model inputs'!AI138="","",'Model inputs'!AI138)</f>
        <v>30</v>
      </c>
      <c r="W94" s="8">
        <f>IF('Model inputs'!AI138="","",'Model inputs'!AI138)</f>
        <v>30</v>
      </c>
      <c r="X94" s="8">
        <f>IF('Model inputs'!AI138="","",'Model inputs'!AI138)</f>
        <v>30</v>
      </c>
      <c r="Y94" s="8">
        <f>IF('Model inputs'!AI138="","",'Model inputs'!AI138)</f>
        <v>30</v>
      </c>
      <c r="Z94" s="8">
        <f>IF('Model inputs'!AI138="","",'Model inputs'!AI138)</f>
        <v>30</v>
      </c>
      <c r="AA94" s="8">
        <f>IF('Model inputs'!AI138="","",'Model inputs'!AI138)</f>
        <v>30</v>
      </c>
      <c r="AB94" s="8">
        <f>IF('Model inputs'!AI138="","",'Model inputs'!AI138)</f>
        <v>30</v>
      </c>
      <c r="AC94" s="8">
        <f>IF('Model inputs'!AI138="","",'Model inputs'!AI138)</f>
        <v>30</v>
      </c>
      <c r="AD94" s="8">
        <f>IF('Model inputs'!AI138="","",'Model inputs'!AI138)</f>
        <v>30</v>
      </c>
      <c r="AE94" s="8">
        <f>IF('Model inputs'!AI138="","",'Model inputs'!AI138)</f>
        <v>30</v>
      </c>
      <c r="AF94" s="8">
        <f>IF('Model inputs'!AI138="","",'Model inputs'!AI138)</f>
        <v>30</v>
      </c>
      <c r="AG94" s="8">
        <f>IF('Model inputs'!AI138="","",'Model inputs'!AI138)</f>
        <v>30</v>
      </c>
      <c r="AH94" s="8">
        <f>IF('Model inputs'!AI138="","",'Model inputs'!AI138)</f>
        <v>30</v>
      </c>
    </row>
    <row r="95">
      <c r="A95" t="inlineStr" s="11">
        <is>
          <t xml:space="preserve">Fixed costs</t>
        </is>
      </c>
      <c r="B95" s="6">
        <f>IF('Model inputs'!B43="","",'Model inputs'!B43)</f>
        <v>0</v>
      </c>
      <c r="C95" s="6">
        <f>IF('Model inputs'!C43="","",'Model inputs'!C43)</f>
        <v>0</v>
      </c>
      <c r="D95" s="6">
        <f>IF('Model inputs'!D43="","",'Model inputs'!D43)</f>
        <v>0</v>
      </c>
      <c r="E95" s="6">
        <f>IF('Model inputs'!E43="","",'Model inputs'!E43)</f>
        <v>0</v>
      </c>
      <c r="F95" s="6">
        <f>IF('Model inputs'!F43="","",'Model inputs'!F43)</f>
        <v>0</v>
      </c>
      <c r="G95" s="6">
        <f>IF('Model inputs'!G43="","",'Model inputs'!G43)</f>
        <v>0</v>
      </c>
      <c r="H95" s="6">
        <f>IF('Model inputs'!H43="","",'Model inputs'!H43)</f>
        <v>0</v>
      </c>
      <c r="I95" s="6">
        <f>IF('Model inputs'!I43="","",'Model inputs'!I43)</f>
        <v>0</v>
      </c>
      <c r="J95" s="6">
        <f>IF('Model inputs'!J43="","",'Model inputs'!J43)</f>
        <v>0</v>
      </c>
      <c r="K95" s="6">
        <f>IF('Model inputs'!K43="","",'Model inputs'!K43)</f>
        <v>170</v>
      </c>
      <c r="L95" s="6">
        <f>IF('Model inputs'!L43="","",'Model inputs'!L43)</f>
        <v>170</v>
      </c>
      <c r="M95" s="6">
        <f>IF('Model inputs'!M43="","",'Model inputs'!M43)</f>
        <v>170</v>
      </c>
      <c r="N95" s="6">
        <f>IF('Model inputs'!N43="","",'Model inputs'!N43)</f>
        <v>170</v>
      </c>
      <c r="O95" s="6">
        <f>IF('Model inputs'!O43="","",'Model inputs'!O43)</f>
        <v>170</v>
      </c>
      <c r="P95" s="6">
        <f>IF('Model inputs'!P43="","",'Model inputs'!P43)</f>
        <v>170</v>
      </c>
      <c r="Q95" s="6">
        <f>IF('Model inputs'!Q43="","",'Model inputs'!Q43)</f>
        <v>170</v>
      </c>
      <c r="R95" s="6">
        <f>IF('Model inputs'!R43="","",'Model inputs'!R43)</f>
        <v>170</v>
      </c>
      <c r="S95" s="6">
        <f>IF('Model inputs'!S43="","",'Model inputs'!S43)</f>
        <v>170</v>
      </c>
      <c r="T95" s="6">
        <f>IF('Model inputs'!T43="","",'Model inputs'!T43)</f>
        <v>170</v>
      </c>
      <c r="U95" s="6">
        <f>IF('Model inputs'!U43="","",'Model inputs'!U43)</f>
        <v>170</v>
      </c>
      <c r="V95" s="6">
        <f>IF('Model inputs'!V43="","",'Model inputs'!V43)</f>
        <v>170</v>
      </c>
      <c r="W95" s="6">
        <f>IF('Model inputs'!W43="","",'Model inputs'!W43)</f>
        <v>170</v>
      </c>
      <c r="X95" s="6">
        <f>IF('Model inputs'!X43="","",'Model inputs'!X43)</f>
        <v>170</v>
      </c>
      <c r="Y95" s="6">
        <f>IF('Model inputs'!Y43="","",'Model inputs'!Y43)</f>
        <v>170</v>
      </c>
      <c r="Z95" s="6">
        <f>IF('Model inputs'!Z43="","",'Model inputs'!Z43)</f>
        <v>170</v>
      </c>
      <c r="AA95" s="6">
        <f>IF('Model inputs'!AA43="","",'Model inputs'!AA43)</f>
        <v>170</v>
      </c>
      <c r="AB95" s="6">
        <f>IF('Model inputs'!AB43="","",'Model inputs'!AB43)</f>
        <v>170</v>
      </c>
      <c r="AC95" s="6">
        <f>IF('Model inputs'!AC43="","",'Model inputs'!AC43)</f>
        <v>170</v>
      </c>
      <c r="AD95" s="6">
        <f>IF('Model inputs'!AD43="","",'Model inputs'!AD43)</f>
        <v>170</v>
      </c>
      <c r="AE95" s="6">
        <f>IF('Model inputs'!AE43="","",'Model inputs'!AE43)</f>
        <v>170</v>
      </c>
      <c r="AF95" s="6">
        <f>IF('Model inputs'!AF43="","",'Model inputs'!AF43)</f>
        <v>170</v>
      </c>
      <c r="AG95" s="6">
        <f>IF('Model inputs'!AG43="","",'Model inputs'!AG43)</f>
        <v>170</v>
      </c>
      <c r="AH95" s="6">
        <f>IF('Model inputs'!AH43="","",'Model inputs'!AH43)</f>
        <v>170</v>
      </c>
    </row>
    <row r="96" outlineLevel="1">
      <c r="A96" t="inlineStr" s="12">
        <is>
          <t xml:space="preserve">Fixed costs &gt; Accounting, legal &amp; misc</t>
        </is>
      </c>
      <c r="B96" s="8">
        <f>'Model inputs'!B91</f>
        <v>0</v>
      </c>
      <c r="C96" s="8">
        <f>'Model inputs'!C91</f>
        <v>0</v>
      </c>
      <c r="D96" s="8">
        <f>'Model inputs'!D91</f>
        <v>0</v>
      </c>
      <c r="E96" s="8">
        <f>'Model inputs'!E91</f>
        <v>0</v>
      </c>
      <c r="F96" s="8">
        <f>'Model inputs'!F91</f>
        <v>0</v>
      </c>
      <c r="G96" s="8">
        <f>'Model inputs'!G91</f>
        <v>0</v>
      </c>
      <c r="H96" s="8">
        <f>'Model inputs'!H91</f>
        <v>0</v>
      </c>
      <c r="I96" s="8">
        <f>'Model inputs'!I91</f>
        <v>0</v>
      </c>
      <c r="J96" s="8">
        <f>'Model inputs'!J91</f>
        <v>0</v>
      </c>
      <c r="K96" s="8">
        <f>IF('Model inputs'!AI140="","",'Model inputs'!AI140)</f>
        <v>50</v>
      </c>
      <c r="L96" s="8">
        <f>IF('Model inputs'!AI140="","",'Model inputs'!AI140)</f>
        <v>50</v>
      </c>
      <c r="M96" s="8">
        <f>IF('Model inputs'!AI140="","",'Model inputs'!AI140)</f>
        <v>50</v>
      </c>
      <c r="N96" s="8">
        <f>IF('Model inputs'!AI140="","",'Model inputs'!AI140)</f>
        <v>50</v>
      </c>
      <c r="O96" s="8">
        <f>IF('Model inputs'!AI140="","",'Model inputs'!AI140)</f>
        <v>50</v>
      </c>
      <c r="P96" s="8">
        <f>IF('Model inputs'!AI140="","",'Model inputs'!AI140)</f>
        <v>50</v>
      </c>
      <c r="Q96" s="8">
        <f>IF('Model inputs'!AI140="","",'Model inputs'!AI140)</f>
        <v>50</v>
      </c>
      <c r="R96" s="8">
        <f>IF('Model inputs'!AI140="","",'Model inputs'!AI140)</f>
        <v>50</v>
      </c>
      <c r="S96" s="8">
        <f>IF('Model inputs'!AI140="","",'Model inputs'!AI140)</f>
        <v>50</v>
      </c>
      <c r="T96" s="8">
        <f>IF('Model inputs'!AI140="","",'Model inputs'!AI140)</f>
        <v>50</v>
      </c>
      <c r="U96" s="8">
        <f>IF('Model inputs'!AI140="","",'Model inputs'!AI140)</f>
        <v>50</v>
      </c>
      <c r="V96" s="8">
        <f>IF('Model inputs'!AI140="","",'Model inputs'!AI140)</f>
        <v>50</v>
      </c>
      <c r="W96" s="8">
        <f>IF('Model inputs'!AI140="","",'Model inputs'!AI140)</f>
        <v>50</v>
      </c>
      <c r="X96" s="8">
        <f>IF('Model inputs'!AI140="","",'Model inputs'!AI140)</f>
        <v>50</v>
      </c>
      <c r="Y96" s="8">
        <f>IF('Model inputs'!AI140="","",'Model inputs'!AI140)</f>
        <v>50</v>
      </c>
      <c r="Z96" s="8">
        <f>IF('Model inputs'!AI140="","",'Model inputs'!AI140)</f>
        <v>50</v>
      </c>
      <c r="AA96" s="8">
        <f>IF('Model inputs'!AI140="","",'Model inputs'!AI140)</f>
        <v>50</v>
      </c>
      <c r="AB96" s="8">
        <f>IF('Model inputs'!AI140="","",'Model inputs'!AI140)</f>
        <v>50</v>
      </c>
      <c r="AC96" s="8">
        <f>IF('Model inputs'!AI140="","",'Model inputs'!AI140)</f>
        <v>50</v>
      </c>
      <c r="AD96" s="8">
        <f>IF('Model inputs'!AI140="","",'Model inputs'!AI140)</f>
        <v>50</v>
      </c>
      <c r="AE96" s="8">
        <f>IF('Model inputs'!AI140="","",'Model inputs'!AI140)</f>
        <v>50</v>
      </c>
      <c r="AF96" s="8">
        <f>IF('Model inputs'!AI140="","",'Model inputs'!AI140)</f>
        <v>50</v>
      </c>
      <c r="AG96" s="8">
        <f>IF('Model inputs'!AI140="","",'Model inputs'!AI140)</f>
        <v>50</v>
      </c>
      <c r="AH96" s="8">
        <f>IF('Model inputs'!AI140="","",'Model inputs'!AI140)</f>
        <v>50</v>
      </c>
    </row>
    <row r="97" outlineLevel="1">
      <c r="A97" t="inlineStr" s="12">
        <is>
          <t xml:space="preserve">Fixed costs &gt; Hosting</t>
        </is>
      </c>
      <c r="B97" s="8">
        <f>'Model inputs'!B92</f>
        <v>0</v>
      </c>
      <c r="C97" s="8">
        <f>'Model inputs'!C92</f>
        <v>0</v>
      </c>
      <c r="D97" s="8">
        <f>'Model inputs'!D92</f>
        <v>0</v>
      </c>
      <c r="E97" s="8">
        <f>'Model inputs'!E92</f>
        <v>0</v>
      </c>
      <c r="F97" s="8">
        <f>'Model inputs'!F92</f>
        <v>0</v>
      </c>
      <c r="G97" s="8">
        <f>'Model inputs'!G92</f>
        <v>0</v>
      </c>
      <c r="H97" s="8">
        <f>'Model inputs'!H92</f>
        <v>0</v>
      </c>
      <c r="I97" s="8">
        <f>'Model inputs'!I92</f>
        <v>0</v>
      </c>
      <c r="J97" s="8">
        <f>'Model inputs'!J92</f>
        <v>0</v>
      </c>
      <c r="K97" s="8">
        <f>IF('Model inputs'!AI141="","",'Model inputs'!AI141)</f>
        <v>40</v>
      </c>
      <c r="L97" s="8">
        <f>IF('Model inputs'!AI141="","",'Model inputs'!AI141)</f>
        <v>40</v>
      </c>
      <c r="M97" s="8">
        <f>IF('Model inputs'!AI141="","",'Model inputs'!AI141)</f>
        <v>40</v>
      </c>
      <c r="N97" s="8">
        <f>IF('Model inputs'!AI141="","",'Model inputs'!AI141)</f>
        <v>40</v>
      </c>
      <c r="O97" s="8">
        <f>IF('Model inputs'!AI141="","",'Model inputs'!AI141)</f>
        <v>40</v>
      </c>
      <c r="P97" s="8">
        <f>IF('Model inputs'!AI141="","",'Model inputs'!AI141)</f>
        <v>40</v>
      </c>
      <c r="Q97" s="8">
        <f>IF('Model inputs'!AI141="","",'Model inputs'!AI141)</f>
        <v>40</v>
      </c>
      <c r="R97" s="8">
        <f>IF('Model inputs'!AI141="","",'Model inputs'!AI141)</f>
        <v>40</v>
      </c>
      <c r="S97" s="8">
        <f>IF('Model inputs'!AI141="","",'Model inputs'!AI141)</f>
        <v>40</v>
      </c>
      <c r="T97" s="8">
        <f>IF('Model inputs'!AI141="","",'Model inputs'!AI141)</f>
        <v>40</v>
      </c>
      <c r="U97" s="8">
        <f>IF('Model inputs'!AI141="","",'Model inputs'!AI141)</f>
        <v>40</v>
      </c>
      <c r="V97" s="8">
        <f>IF('Model inputs'!AI141="","",'Model inputs'!AI141)</f>
        <v>40</v>
      </c>
      <c r="W97" s="8">
        <f>IF('Model inputs'!AI141="","",'Model inputs'!AI141)</f>
        <v>40</v>
      </c>
      <c r="X97" s="8">
        <f>IF('Model inputs'!AI141="","",'Model inputs'!AI141)</f>
        <v>40</v>
      </c>
      <c r="Y97" s="8">
        <f>IF('Model inputs'!AI141="","",'Model inputs'!AI141)</f>
        <v>40</v>
      </c>
      <c r="Z97" s="8">
        <f>IF('Model inputs'!AI141="","",'Model inputs'!AI141)</f>
        <v>40</v>
      </c>
      <c r="AA97" s="8">
        <f>IF('Model inputs'!AI141="","",'Model inputs'!AI141)</f>
        <v>40</v>
      </c>
      <c r="AB97" s="8">
        <f>IF('Model inputs'!AI141="","",'Model inputs'!AI141)</f>
        <v>40</v>
      </c>
      <c r="AC97" s="8">
        <f>IF('Model inputs'!AI141="","",'Model inputs'!AI141)</f>
        <v>40</v>
      </c>
      <c r="AD97" s="8">
        <f>IF('Model inputs'!AI141="","",'Model inputs'!AI141)</f>
        <v>40</v>
      </c>
      <c r="AE97" s="8">
        <f>IF('Model inputs'!AI141="","",'Model inputs'!AI141)</f>
        <v>40</v>
      </c>
      <c r="AF97" s="8">
        <f>IF('Model inputs'!AI141="","",'Model inputs'!AI141)</f>
        <v>40</v>
      </c>
      <c r="AG97" s="8">
        <f>IF('Model inputs'!AI141="","",'Model inputs'!AI141)</f>
        <v>40</v>
      </c>
      <c r="AH97" s="8">
        <f>IF('Model inputs'!AI141="","",'Model inputs'!AI141)</f>
        <v>40</v>
      </c>
    </row>
    <row r="98" outlineLevel="1">
      <c r="A98" t="inlineStr" s="12">
        <is>
          <t xml:space="preserve">Fixed costs &gt; Observability</t>
        </is>
      </c>
      <c r="B98" s="8">
        <f>'Model inputs'!B93</f>
        <v>0</v>
      </c>
      <c r="C98" s="8">
        <f>'Model inputs'!C93</f>
        <v>0</v>
      </c>
      <c r="D98" s="8">
        <f>'Model inputs'!D93</f>
        <v>0</v>
      </c>
      <c r="E98" s="8">
        <f>'Model inputs'!E93</f>
        <v>0</v>
      </c>
      <c r="F98" s="8">
        <f>'Model inputs'!F93</f>
        <v>0</v>
      </c>
      <c r="G98" s="8">
        <f>'Model inputs'!G93</f>
        <v>0</v>
      </c>
      <c r="H98" s="8">
        <f>'Model inputs'!H93</f>
        <v>0</v>
      </c>
      <c r="I98" s="8">
        <f>'Model inputs'!I93</f>
        <v>0</v>
      </c>
      <c r="J98" s="8">
        <f>'Model inputs'!J93</f>
        <v>0</v>
      </c>
      <c r="K98" s="8">
        <f>IF('Model inputs'!AI142="","",'Model inputs'!AI142)</f>
        <v>50</v>
      </c>
      <c r="L98" s="8">
        <f>IF('Model inputs'!AI142="","",'Model inputs'!AI142)</f>
        <v>50</v>
      </c>
      <c r="M98" s="8">
        <f>IF('Model inputs'!AI142="","",'Model inputs'!AI142)</f>
        <v>50</v>
      </c>
      <c r="N98" s="8">
        <f>IF('Model inputs'!AI142="","",'Model inputs'!AI142)</f>
        <v>50</v>
      </c>
      <c r="O98" s="8">
        <f>IF('Model inputs'!AI142="","",'Model inputs'!AI142)</f>
        <v>50</v>
      </c>
      <c r="P98" s="8">
        <f>IF('Model inputs'!AI142="","",'Model inputs'!AI142)</f>
        <v>50</v>
      </c>
      <c r="Q98" s="8">
        <f>IF('Model inputs'!AI142="","",'Model inputs'!AI142)</f>
        <v>50</v>
      </c>
      <c r="R98" s="8">
        <f>IF('Model inputs'!AI142="","",'Model inputs'!AI142)</f>
        <v>50</v>
      </c>
      <c r="S98" s="8">
        <f>IF('Model inputs'!AI142="","",'Model inputs'!AI142)</f>
        <v>50</v>
      </c>
      <c r="T98" s="8">
        <f>IF('Model inputs'!AI142="","",'Model inputs'!AI142)</f>
        <v>50</v>
      </c>
      <c r="U98" s="8">
        <f>IF('Model inputs'!AI142="","",'Model inputs'!AI142)</f>
        <v>50</v>
      </c>
      <c r="V98" s="8">
        <f>IF('Model inputs'!AI142="","",'Model inputs'!AI142)</f>
        <v>50</v>
      </c>
      <c r="W98" s="8">
        <f>IF('Model inputs'!AI142="","",'Model inputs'!AI142)</f>
        <v>50</v>
      </c>
      <c r="X98" s="8">
        <f>IF('Model inputs'!AI142="","",'Model inputs'!AI142)</f>
        <v>50</v>
      </c>
      <c r="Y98" s="8">
        <f>IF('Model inputs'!AI142="","",'Model inputs'!AI142)</f>
        <v>50</v>
      </c>
      <c r="Z98" s="8">
        <f>IF('Model inputs'!AI142="","",'Model inputs'!AI142)</f>
        <v>50</v>
      </c>
      <c r="AA98" s="8">
        <f>IF('Model inputs'!AI142="","",'Model inputs'!AI142)</f>
        <v>50</v>
      </c>
      <c r="AB98" s="8">
        <f>IF('Model inputs'!AI142="","",'Model inputs'!AI142)</f>
        <v>50</v>
      </c>
      <c r="AC98" s="8">
        <f>IF('Model inputs'!AI142="","",'Model inputs'!AI142)</f>
        <v>50</v>
      </c>
      <c r="AD98" s="8">
        <f>IF('Model inputs'!AI142="","",'Model inputs'!AI142)</f>
        <v>50</v>
      </c>
      <c r="AE98" s="8">
        <f>IF('Model inputs'!AI142="","",'Model inputs'!AI142)</f>
        <v>50</v>
      </c>
      <c r="AF98" s="8">
        <f>IF('Model inputs'!AI142="","",'Model inputs'!AI142)</f>
        <v>50</v>
      </c>
      <c r="AG98" s="8">
        <f>IF('Model inputs'!AI142="","",'Model inputs'!AI142)</f>
        <v>50</v>
      </c>
      <c r="AH98" s="8">
        <f>IF('Model inputs'!AI142="","",'Model inputs'!AI142)</f>
        <v>50</v>
      </c>
    </row>
    <row r="99" outlineLevel="1">
      <c r="A99" t="inlineStr" s="12">
        <is>
          <t xml:space="preserve">Fixed costs &gt; Tooling &amp; misc</t>
        </is>
      </c>
      <c r="B99" s="8">
        <f>'Model inputs'!B94</f>
        <v>0</v>
      </c>
      <c r="C99" s="8">
        <f>'Model inputs'!C94</f>
        <v>0</v>
      </c>
      <c r="D99" s="8">
        <f>'Model inputs'!D94</f>
        <v>0</v>
      </c>
      <c r="E99" s="8">
        <f>'Model inputs'!E94</f>
        <v>0</v>
      </c>
      <c r="F99" s="8">
        <f>'Model inputs'!F94</f>
        <v>0</v>
      </c>
      <c r="G99" s="8">
        <f>'Model inputs'!G94</f>
        <v>0</v>
      </c>
      <c r="H99" s="8">
        <f>'Model inputs'!H94</f>
        <v>0</v>
      </c>
      <c r="I99" s="8">
        <f>'Model inputs'!I94</f>
        <v>0</v>
      </c>
      <c r="J99" s="8">
        <f>'Model inputs'!J94</f>
        <v>0</v>
      </c>
      <c r="K99" s="8">
        <f>IF('Model inputs'!AI143="","",'Model inputs'!AI143)</f>
        <v>30</v>
      </c>
      <c r="L99" s="8">
        <f>IF('Model inputs'!AI143="","",'Model inputs'!AI143)</f>
        <v>30</v>
      </c>
      <c r="M99" s="8">
        <f>IF('Model inputs'!AI143="","",'Model inputs'!AI143)</f>
        <v>30</v>
      </c>
      <c r="N99" s="8">
        <f>IF('Model inputs'!AI143="","",'Model inputs'!AI143)</f>
        <v>30</v>
      </c>
      <c r="O99" s="8">
        <f>IF('Model inputs'!AI143="","",'Model inputs'!AI143)</f>
        <v>30</v>
      </c>
      <c r="P99" s="8">
        <f>IF('Model inputs'!AI143="","",'Model inputs'!AI143)</f>
        <v>30</v>
      </c>
      <c r="Q99" s="8">
        <f>IF('Model inputs'!AI143="","",'Model inputs'!AI143)</f>
        <v>30</v>
      </c>
      <c r="R99" s="8">
        <f>IF('Model inputs'!AI143="","",'Model inputs'!AI143)</f>
        <v>30</v>
      </c>
      <c r="S99" s="8">
        <f>IF('Model inputs'!AI143="","",'Model inputs'!AI143)</f>
        <v>30</v>
      </c>
      <c r="T99" s="8">
        <f>IF('Model inputs'!AI143="","",'Model inputs'!AI143)</f>
        <v>30</v>
      </c>
      <c r="U99" s="8">
        <f>IF('Model inputs'!AI143="","",'Model inputs'!AI143)</f>
        <v>30</v>
      </c>
      <c r="V99" s="8">
        <f>IF('Model inputs'!AI143="","",'Model inputs'!AI143)</f>
        <v>30</v>
      </c>
      <c r="W99" s="8">
        <f>IF('Model inputs'!AI143="","",'Model inputs'!AI143)</f>
        <v>30</v>
      </c>
      <c r="X99" s="8">
        <f>IF('Model inputs'!AI143="","",'Model inputs'!AI143)</f>
        <v>30</v>
      </c>
      <c r="Y99" s="8">
        <f>IF('Model inputs'!AI143="","",'Model inputs'!AI143)</f>
        <v>30</v>
      </c>
      <c r="Z99" s="8">
        <f>IF('Model inputs'!AI143="","",'Model inputs'!AI143)</f>
        <v>30</v>
      </c>
      <c r="AA99" s="8">
        <f>IF('Model inputs'!AI143="","",'Model inputs'!AI143)</f>
        <v>30</v>
      </c>
      <c r="AB99" s="8">
        <f>IF('Model inputs'!AI143="","",'Model inputs'!AI143)</f>
        <v>30</v>
      </c>
      <c r="AC99" s="8">
        <f>IF('Model inputs'!AI143="","",'Model inputs'!AI143)</f>
        <v>30</v>
      </c>
      <c r="AD99" s="8">
        <f>IF('Model inputs'!AI143="","",'Model inputs'!AI143)</f>
        <v>30</v>
      </c>
      <c r="AE99" s="8">
        <f>IF('Model inputs'!AI143="","",'Model inputs'!AI143)</f>
        <v>30</v>
      </c>
      <c r="AF99" s="8">
        <f>IF('Model inputs'!AI143="","",'Model inputs'!AI143)</f>
        <v>30</v>
      </c>
      <c r="AG99" s="8">
        <f>IF('Model inputs'!AI143="","",'Model inputs'!AI143)</f>
        <v>30</v>
      </c>
      <c r="AH99" s="8">
        <f>IF('Model inputs'!AI143="","",'Model inputs'!AI143)</f>
        <v>30</v>
      </c>
    </row>
    <row r="100">
      <c r="A100" t="inlineStr" s="11">
        <is>
          <t xml:space="preserve">Fixed costs</t>
        </is>
      </c>
      <c r="B100" s="6">
        <f>IF('Model inputs'!B44="","",'Model inputs'!B44)</f>
        <v>0</v>
      </c>
      <c r="C100" s="6">
        <f>IF('Model inputs'!C44="","",'Model inputs'!C44)</f>
        <v>0</v>
      </c>
      <c r="D100" s="6">
        <f>IF('Model inputs'!D44="","",'Model inputs'!D44)</f>
        <v>0</v>
      </c>
      <c r="E100" s="6">
        <f>IF('Model inputs'!E44="","",'Model inputs'!E44)</f>
        <v>0</v>
      </c>
      <c r="F100" s="6">
        <f>IF('Model inputs'!F44="","",'Model inputs'!F44)</f>
        <v>0</v>
      </c>
      <c r="G100" s="6">
        <f>IF('Model inputs'!G44="","",'Model inputs'!G44)</f>
        <v>0</v>
      </c>
      <c r="H100" s="6">
        <f>IF('Model inputs'!H44="","",'Model inputs'!H44)</f>
        <v>0</v>
      </c>
      <c r="I100" s="6">
        <f>IF('Model inputs'!I44="","",'Model inputs'!I44)</f>
        <v>0</v>
      </c>
      <c r="J100" s="6">
        <f>IF('Model inputs'!J44="","",'Model inputs'!J44)</f>
        <v>0</v>
      </c>
      <c r="K100" s="6">
        <f>IF('Model inputs'!K44="","",'Model inputs'!K44)</f>
        <v>170</v>
      </c>
      <c r="L100" s="6">
        <f>IF('Model inputs'!L44="","",'Model inputs'!L44)</f>
        <v>170</v>
      </c>
      <c r="M100" s="6">
        <f>IF('Model inputs'!M44="","",'Model inputs'!M44)</f>
        <v>170</v>
      </c>
      <c r="N100" s="6">
        <f>IF('Model inputs'!N44="","",'Model inputs'!N44)</f>
        <v>170</v>
      </c>
      <c r="O100" s="6">
        <f>IF('Model inputs'!O44="","",'Model inputs'!O44)</f>
        <v>170</v>
      </c>
      <c r="P100" s="6">
        <f>IF('Model inputs'!P44="","",'Model inputs'!P44)</f>
        <v>170</v>
      </c>
      <c r="Q100" s="6">
        <f>IF('Model inputs'!Q44="","",'Model inputs'!Q44)</f>
        <v>170</v>
      </c>
      <c r="R100" s="6">
        <f>IF('Model inputs'!R44="","",'Model inputs'!R44)</f>
        <v>170</v>
      </c>
      <c r="S100" s="6">
        <f>IF('Model inputs'!S44="","",'Model inputs'!S44)</f>
        <v>170</v>
      </c>
      <c r="T100" s="6">
        <f>IF('Model inputs'!T44="","",'Model inputs'!T44)</f>
        <v>170</v>
      </c>
      <c r="U100" s="6">
        <f>IF('Model inputs'!U44="","",'Model inputs'!U44)</f>
        <v>170</v>
      </c>
      <c r="V100" s="6">
        <f>IF('Model inputs'!V44="","",'Model inputs'!V44)</f>
        <v>170</v>
      </c>
      <c r="W100" s="6">
        <f>IF('Model inputs'!W44="","",'Model inputs'!W44)</f>
        <v>170</v>
      </c>
      <c r="X100" s="6">
        <f>IF('Model inputs'!X44="","",'Model inputs'!X44)</f>
        <v>170</v>
      </c>
      <c r="Y100" s="6">
        <f>IF('Model inputs'!Y44="","",'Model inputs'!Y44)</f>
        <v>170</v>
      </c>
      <c r="Z100" s="6">
        <f>IF('Model inputs'!Z44="","",'Model inputs'!Z44)</f>
        <v>170</v>
      </c>
      <c r="AA100" s="6">
        <f>IF('Model inputs'!AA44="","",'Model inputs'!AA44)</f>
        <v>170</v>
      </c>
      <c r="AB100" s="6">
        <f>IF('Model inputs'!AB44="","",'Model inputs'!AB44)</f>
        <v>170</v>
      </c>
      <c r="AC100" s="6">
        <f>IF('Model inputs'!AC44="","",'Model inputs'!AC44)</f>
        <v>170</v>
      </c>
      <c r="AD100" s="6">
        <f>IF('Model inputs'!AD44="","",'Model inputs'!AD44)</f>
        <v>170</v>
      </c>
      <c r="AE100" s="6">
        <f>IF('Model inputs'!AE44="","",'Model inputs'!AE44)</f>
        <v>170</v>
      </c>
      <c r="AF100" s="6">
        <f>IF('Model inputs'!AF44="","",'Model inputs'!AF44)</f>
        <v>170</v>
      </c>
      <c r="AG100" s="6">
        <f>IF('Model inputs'!AG44="","",'Model inputs'!AG44)</f>
        <v>170</v>
      </c>
      <c r="AH100" s="6">
        <f>IF('Model inputs'!AH44="","",'Model inputs'!AH44)</f>
        <v>170</v>
      </c>
    </row>
    <row r="101" outlineLevel="1">
      <c r="A101" t="inlineStr" s="12">
        <is>
          <t xml:space="preserve">Fixed costs &gt; Accounting, legal &amp; misc</t>
        </is>
      </c>
      <c r="B101" s="8">
        <f>'Model inputs'!B91</f>
        <v>0</v>
      </c>
      <c r="C101" s="8">
        <f>'Model inputs'!C91</f>
        <v>0</v>
      </c>
      <c r="D101" s="8">
        <f>'Model inputs'!D91</f>
        <v>0</v>
      </c>
      <c r="E101" s="8">
        <f>'Model inputs'!E91</f>
        <v>0</v>
      </c>
      <c r="F101" s="8">
        <f>'Model inputs'!F91</f>
        <v>0</v>
      </c>
      <c r="G101" s="8">
        <f>'Model inputs'!G91</f>
        <v>0</v>
      </c>
      <c r="H101" s="8">
        <f>'Model inputs'!H91</f>
        <v>0</v>
      </c>
      <c r="I101" s="8">
        <f>'Model inputs'!I91</f>
        <v>0</v>
      </c>
      <c r="J101" s="8">
        <f>'Model inputs'!J91</f>
        <v>0</v>
      </c>
      <c r="K101" s="8">
        <f>IF('Model inputs'!AI145="","",'Model inputs'!AI145)</f>
        <v>50</v>
      </c>
      <c r="L101" s="8">
        <f>IF('Model inputs'!AI145="","",'Model inputs'!AI145)</f>
        <v>50</v>
      </c>
      <c r="M101" s="8">
        <f>IF('Model inputs'!AI145="","",'Model inputs'!AI145)</f>
        <v>50</v>
      </c>
      <c r="N101" s="8">
        <f>IF('Model inputs'!AI145="","",'Model inputs'!AI145)</f>
        <v>50</v>
      </c>
      <c r="O101" s="8">
        <f>IF('Model inputs'!AI145="","",'Model inputs'!AI145)</f>
        <v>50</v>
      </c>
      <c r="P101" s="8">
        <f>IF('Model inputs'!AI145="","",'Model inputs'!AI145)</f>
        <v>50</v>
      </c>
      <c r="Q101" s="8">
        <f>IF('Model inputs'!AI145="","",'Model inputs'!AI145)</f>
        <v>50</v>
      </c>
      <c r="R101" s="8">
        <f>IF('Model inputs'!AI145="","",'Model inputs'!AI145)</f>
        <v>50</v>
      </c>
      <c r="S101" s="8">
        <f>IF('Model inputs'!AI145="","",'Model inputs'!AI145)</f>
        <v>50</v>
      </c>
      <c r="T101" s="8">
        <f>IF('Model inputs'!AI145="","",'Model inputs'!AI145)</f>
        <v>50</v>
      </c>
      <c r="U101" s="8">
        <f>IF('Model inputs'!AI145="","",'Model inputs'!AI145)</f>
        <v>50</v>
      </c>
      <c r="V101" s="8">
        <f>IF('Model inputs'!AI145="","",'Model inputs'!AI145)</f>
        <v>50</v>
      </c>
      <c r="W101" s="8">
        <f>IF('Model inputs'!AI145="","",'Model inputs'!AI145)</f>
        <v>50</v>
      </c>
      <c r="X101" s="8">
        <f>IF('Model inputs'!AI145="","",'Model inputs'!AI145)</f>
        <v>50</v>
      </c>
      <c r="Y101" s="8">
        <f>IF('Model inputs'!AI145="","",'Model inputs'!AI145)</f>
        <v>50</v>
      </c>
      <c r="Z101" s="8">
        <f>IF('Model inputs'!AI145="","",'Model inputs'!AI145)</f>
        <v>50</v>
      </c>
      <c r="AA101" s="8">
        <f>IF('Model inputs'!AI145="","",'Model inputs'!AI145)</f>
        <v>50</v>
      </c>
      <c r="AB101" s="8">
        <f>IF('Model inputs'!AI145="","",'Model inputs'!AI145)</f>
        <v>50</v>
      </c>
      <c r="AC101" s="8">
        <f>IF('Model inputs'!AI145="","",'Model inputs'!AI145)</f>
        <v>50</v>
      </c>
      <c r="AD101" s="8">
        <f>IF('Model inputs'!AI145="","",'Model inputs'!AI145)</f>
        <v>50</v>
      </c>
      <c r="AE101" s="8">
        <f>IF('Model inputs'!AI145="","",'Model inputs'!AI145)</f>
        <v>50</v>
      </c>
      <c r="AF101" s="8">
        <f>IF('Model inputs'!AI145="","",'Model inputs'!AI145)</f>
        <v>50</v>
      </c>
      <c r="AG101" s="8">
        <f>IF('Model inputs'!AI145="","",'Model inputs'!AI145)</f>
        <v>50</v>
      </c>
      <c r="AH101" s="8">
        <f>IF('Model inputs'!AI145="","",'Model inputs'!AI145)</f>
        <v>50</v>
      </c>
    </row>
    <row r="102" outlineLevel="1">
      <c r="A102" t="inlineStr" s="12">
        <is>
          <t xml:space="preserve">Fixed costs &gt; Hosting</t>
        </is>
      </c>
      <c r="B102" s="8">
        <f>'Model inputs'!B92</f>
        <v>0</v>
      </c>
      <c r="C102" s="8">
        <f>'Model inputs'!C92</f>
        <v>0</v>
      </c>
      <c r="D102" s="8">
        <f>'Model inputs'!D92</f>
        <v>0</v>
      </c>
      <c r="E102" s="8">
        <f>'Model inputs'!E92</f>
        <v>0</v>
      </c>
      <c r="F102" s="8">
        <f>'Model inputs'!F92</f>
        <v>0</v>
      </c>
      <c r="G102" s="8">
        <f>'Model inputs'!G92</f>
        <v>0</v>
      </c>
      <c r="H102" s="8">
        <f>'Model inputs'!H92</f>
        <v>0</v>
      </c>
      <c r="I102" s="8">
        <f>'Model inputs'!I92</f>
        <v>0</v>
      </c>
      <c r="J102" s="8">
        <f>'Model inputs'!J92</f>
        <v>0</v>
      </c>
      <c r="K102" s="8">
        <f>IF('Model inputs'!AI146="","",'Model inputs'!AI146)</f>
        <v>40</v>
      </c>
      <c r="L102" s="8">
        <f>IF('Model inputs'!AI146="","",'Model inputs'!AI146)</f>
        <v>40</v>
      </c>
      <c r="M102" s="8">
        <f>IF('Model inputs'!AI146="","",'Model inputs'!AI146)</f>
        <v>40</v>
      </c>
      <c r="N102" s="8">
        <f>IF('Model inputs'!AI146="","",'Model inputs'!AI146)</f>
        <v>40</v>
      </c>
      <c r="O102" s="8">
        <f>IF('Model inputs'!AI146="","",'Model inputs'!AI146)</f>
        <v>40</v>
      </c>
      <c r="P102" s="8">
        <f>IF('Model inputs'!AI146="","",'Model inputs'!AI146)</f>
        <v>40</v>
      </c>
      <c r="Q102" s="8">
        <f>IF('Model inputs'!AI146="","",'Model inputs'!AI146)</f>
        <v>40</v>
      </c>
      <c r="R102" s="8">
        <f>IF('Model inputs'!AI146="","",'Model inputs'!AI146)</f>
        <v>40</v>
      </c>
      <c r="S102" s="8">
        <f>IF('Model inputs'!AI146="","",'Model inputs'!AI146)</f>
        <v>40</v>
      </c>
      <c r="T102" s="8">
        <f>IF('Model inputs'!AI146="","",'Model inputs'!AI146)</f>
        <v>40</v>
      </c>
      <c r="U102" s="8">
        <f>IF('Model inputs'!AI146="","",'Model inputs'!AI146)</f>
        <v>40</v>
      </c>
      <c r="V102" s="8">
        <f>IF('Model inputs'!AI146="","",'Model inputs'!AI146)</f>
        <v>40</v>
      </c>
      <c r="W102" s="8">
        <f>IF('Model inputs'!AI146="","",'Model inputs'!AI146)</f>
        <v>40</v>
      </c>
      <c r="X102" s="8">
        <f>IF('Model inputs'!AI146="","",'Model inputs'!AI146)</f>
        <v>40</v>
      </c>
      <c r="Y102" s="8">
        <f>IF('Model inputs'!AI146="","",'Model inputs'!AI146)</f>
        <v>40</v>
      </c>
      <c r="Z102" s="8">
        <f>IF('Model inputs'!AI146="","",'Model inputs'!AI146)</f>
        <v>40</v>
      </c>
      <c r="AA102" s="8">
        <f>IF('Model inputs'!AI146="","",'Model inputs'!AI146)</f>
        <v>40</v>
      </c>
      <c r="AB102" s="8">
        <f>IF('Model inputs'!AI146="","",'Model inputs'!AI146)</f>
        <v>40</v>
      </c>
      <c r="AC102" s="8">
        <f>IF('Model inputs'!AI146="","",'Model inputs'!AI146)</f>
        <v>40</v>
      </c>
      <c r="AD102" s="8">
        <f>IF('Model inputs'!AI146="","",'Model inputs'!AI146)</f>
        <v>40</v>
      </c>
      <c r="AE102" s="8">
        <f>IF('Model inputs'!AI146="","",'Model inputs'!AI146)</f>
        <v>40</v>
      </c>
      <c r="AF102" s="8">
        <f>IF('Model inputs'!AI146="","",'Model inputs'!AI146)</f>
        <v>40</v>
      </c>
      <c r="AG102" s="8">
        <f>IF('Model inputs'!AI146="","",'Model inputs'!AI146)</f>
        <v>40</v>
      </c>
      <c r="AH102" s="8">
        <f>IF('Model inputs'!AI146="","",'Model inputs'!AI146)</f>
        <v>40</v>
      </c>
    </row>
    <row r="103" outlineLevel="1">
      <c r="A103" t="inlineStr" s="12">
        <is>
          <t xml:space="preserve">Fixed costs &gt; Observability</t>
        </is>
      </c>
      <c r="B103" s="8">
        <f>'Model inputs'!B93</f>
        <v>0</v>
      </c>
      <c r="C103" s="8">
        <f>'Model inputs'!C93</f>
        <v>0</v>
      </c>
      <c r="D103" s="8">
        <f>'Model inputs'!D93</f>
        <v>0</v>
      </c>
      <c r="E103" s="8">
        <f>'Model inputs'!E93</f>
        <v>0</v>
      </c>
      <c r="F103" s="8">
        <f>'Model inputs'!F93</f>
        <v>0</v>
      </c>
      <c r="G103" s="8">
        <f>'Model inputs'!G93</f>
        <v>0</v>
      </c>
      <c r="H103" s="8">
        <f>'Model inputs'!H93</f>
        <v>0</v>
      </c>
      <c r="I103" s="8">
        <f>'Model inputs'!I93</f>
        <v>0</v>
      </c>
      <c r="J103" s="8">
        <f>'Model inputs'!J93</f>
        <v>0</v>
      </c>
      <c r="K103" s="8">
        <f>IF('Model inputs'!AI147="","",'Model inputs'!AI147)</f>
        <v>50</v>
      </c>
      <c r="L103" s="8">
        <f>IF('Model inputs'!AI147="","",'Model inputs'!AI147)</f>
        <v>50</v>
      </c>
      <c r="M103" s="8">
        <f>IF('Model inputs'!AI147="","",'Model inputs'!AI147)</f>
        <v>50</v>
      </c>
      <c r="N103" s="8">
        <f>IF('Model inputs'!AI147="","",'Model inputs'!AI147)</f>
        <v>50</v>
      </c>
      <c r="O103" s="8">
        <f>IF('Model inputs'!AI147="","",'Model inputs'!AI147)</f>
        <v>50</v>
      </c>
      <c r="P103" s="8">
        <f>IF('Model inputs'!AI147="","",'Model inputs'!AI147)</f>
        <v>50</v>
      </c>
      <c r="Q103" s="8">
        <f>IF('Model inputs'!AI147="","",'Model inputs'!AI147)</f>
        <v>50</v>
      </c>
      <c r="R103" s="8">
        <f>IF('Model inputs'!AI147="","",'Model inputs'!AI147)</f>
        <v>50</v>
      </c>
      <c r="S103" s="8">
        <f>IF('Model inputs'!AI147="","",'Model inputs'!AI147)</f>
        <v>50</v>
      </c>
      <c r="T103" s="8">
        <f>IF('Model inputs'!AI147="","",'Model inputs'!AI147)</f>
        <v>50</v>
      </c>
      <c r="U103" s="8">
        <f>IF('Model inputs'!AI147="","",'Model inputs'!AI147)</f>
        <v>50</v>
      </c>
      <c r="V103" s="8">
        <f>IF('Model inputs'!AI147="","",'Model inputs'!AI147)</f>
        <v>50</v>
      </c>
      <c r="W103" s="8">
        <f>IF('Model inputs'!AI147="","",'Model inputs'!AI147)</f>
        <v>50</v>
      </c>
      <c r="X103" s="8">
        <f>IF('Model inputs'!AI147="","",'Model inputs'!AI147)</f>
        <v>50</v>
      </c>
      <c r="Y103" s="8">
        <f>IF('Model inputs'!AI147="","",'Model inputs'!AI147)</f>
        <v>50</v>
      </c>
      <c r="Z103" s="8">
        <f>IF('Model inputs'!AI147="","",'Model inputs'!AI147)</f>
        <v>50</v>
      </c>
      <c r="AA103" s="8">
        <f>IF('Model inputs'!AI147="","",'Model inputs'!AI147)</f>
        <v>50</v>
      </c>
      <c r="AB103" s="8">
        <f>IF('Model inputs'!AI147="","",'Model inputs'!AI147)</f>
        <v>50</v>
      </c>
      <c r="AC103" s="8">
        <f>IF('Model inputs'!AI147="","",'Model inputs'!AI147)</f>
        <v>50</v>
      </c>
      <c r="AD103" s="8">
        <f>IF('Model inputs'!AI147="","",'Model inputs'!AI147)</f>
        <v>50</v>
      </c>
      <c r="AE103" s="8">
        <f>IF('Model inputs'!AI147="","",'Model inputs'!AI147)</f>
        <v>50</v>
      </c>
      <c r="AF103" s="8">
        <f>IF('Model inputs'!AI147="","",'Model inputs'!AI147)</f>
        <v>50</v>
      </c>
      <c r="AG103" s="8">
        <f>IF('Model inputs'!AI147="","",'Model inputs'!AI147)</f>
        <v>50</v>
      </c>
      <c r="AH103" s="8">
        <f>IF('Model inputs'!AI147="","",'Model inputs'!AI147)</f>
        <v>50</v>
      </c>
    </row>
    <row r="104" outlineLevel="1">
      <c r="A104" t="inlineStr" s="12">
        <is>
          <t xml:space="preserve">Fixed costs &gt; Tooling &amp; misc</t>
        </is>
      </c>
      <c r="B104" s="8">
        <f>'Model inputs'!B94</f>
        <v>0</v>
      </c>
      <c r="C104" s="8">
        <f>'Model inputs'!C94</f>
        <v>0</v>
      </c>
      <c r="D104" s="8">
        <f>'Model inputs'!D94</f>
        <v>0</v>
      </c>
      <c r="E104" s="8">
        <f>'Model inputs'!E94</f>
        <v>0</v>
      </c>
      <c r="F104" s="8">
        <f>'Model inputs'!F94</f>
        <v>0</v>
      </c>
      <c r="G104" s="8">
        <f>'Model inputs'!G94</f>
        <v>0</v>
      </c>
      <c r="H104" s="8">
        <f>'Model inputs'!H94</f>
        <v>0</v>
      </c>
      <c r="I104" s="8">
        <f>'Model inputs'!I94</f>
        <v>0</v>
      </c>
      <c r="J104" s="8">
        <f>'Model inputs'!J94</f>
        <v>0</v>
      </c>
      <c r="K104" s="8">
        <f>IF('Model inputs'!AI148="","",'Model inputs'!AI148)</f>
        <v>30</v>
      </c>
      <c r="L104" s="8">
        <f>IF('Model inputs'!AI148="","",'Model inputs'!AI148)</f>
        <v>30</v>
      </c>
      <c r="M104" s="8">
        <f>IF('Model inputs'!AI148="","",'Model inputs'!AI148)</f>
        <v>30</v>
      </c>
      <c r="N104" s="8">
        <f>IF('Model inputs'!AI148="","",'Model inputs'!AI148)</f>
        <v>30</v>
      </c>
      <c r="O104" s="8">
        <f>IF('Model inputs'!AI148="","",'Model inputs'!AI148)</f>
        <v>30</v>
      </c>
      <c r="P104" s="8">
        <f>IF('Model inputs'!AI148="","",'Model inputs'!AI148)</f>
        <v>30</v>
      </c>
      <c r="Q104" s="8">
        <f>IF('Model inputs'!AI148="","",'Model inputs'!AI148)</f>
        <v>30</v>
      </c>
      <c r="R104" s="8">
        <f>IF('Model inputs'!AI148="","",'Model inputs'!AI148)</f>
        <v>30</v>
      </c>
      <c r="S104" s="8">
        <f>IF('Model inputs'!AI148="","",'Model inputs'!AI148)</f>
        <v>30</v>
      </c>
      <c r="T104" s="8">
        <f>IF('Model inputs'!AI148="","",'Model inputs'!AI148)</f>
        <v>30</v>
      </c>
      <c r="U104" s="8">
        <f>IF('Model inputs'!AI148="","",'Model inputs'!AI148)</f>
        <v>30</v>
      </c>
      <c r="V104" s="8">
        <f>IF('Model inputs'!AI148="","",'Model inputs'!AI148)</f>
        <v>30</v>
      </c>
      <c r="W104" s="8">
        <f>IF('Model inputs'!AI148="","",'Model inputs'!AI148)</f>
        <v>30</v>
      </c>
      <c r="X104" s="8">
        <f>IF('Model inputs'!AI148="","",'Model inputs'!AI148)</f>
        <v>30</v>
      </c>
      <c r="Y104" s="8">
        <f>IF('Model inputs'!AI148="","",'Model inputs'!AI148)</f>
        <v>30</v>
      </c>
      <c r="Z104" s="8">
        <f>IF('Model inputs'!AI148="","",'Model inputs'!AI148)</f>
        <v>30</v>
      </c>
      <c r="AA104" s="8">
        <f>IF('Model inputs'!AI148="","",'Model inputs'!AI148)</f>
        <v>30</v>
      </c>
      <c r="AB104" s="8">
        <f>IF('Model inputs'!AI148="","",'Model inputs'!AI148)</f>
        <v>30</v>
      </c>
      <c r="AC104" s="8">
        <f>IF('Model inputs'!AI148="","",'Model inputs'!AI148)</f>
        <v>30</v>
      </c>
      <c r="AD104" s="8">
        <f>IF('Model inputs'!AI148="","",'Model inputs'!AI148)</f>
        <v>30</v>
      </c>
      <c r="AE104" s="8">
        <f>IF('Model inputs'!AI148="","",'Model inputs'!AI148)</f>
        <v>30</v>
      </c>
      <c r="AF104" s="8">
        <f>IF('Model inputs'!AI148="","",'Model inputs'!AI148)</f>
        <v>30</v>
      </c>
      <c r="AG104" s="8">
        <f>IF('Model inputs'!AI148="","",'Model inputs'!AI148)</f>
        <v>30</v>
      </c>
      <c r="AH104" s="8">
        <f>IF('Model inputs'!AI148="","",'Model inputs'!AI148)</f>
        <v>30</v>
      </c>
    </row>
    <row r="105">
      <c r="A105" t="inlineStr" s="11">
        <is>
          <t xml:space="preserve">Fixed costs</t>
        </is>
      </c>
      <c r="B105" s="6">
        <f>IF('Model inputs'!B45="","",'Model inputs'!B45)</f>
        <v>0</v>
      </c>
      <c r="C105" s="6">
        <f>IF('Model inputs'!C45="","",'Model inputs'!C45)</f>
        <v>0</v>
      </c>
      <c r="D105" s="6">
        <f>IF('Model inputs'!D45="","",'Model inputs'!D45)</f>
        <v>0</v>
      </c>
      <c r="E105" s="6">
        <f>IF('Model inputs'!E45="","",'Model inputs'!E45)</f>
        <v>0</v>
      </c>
      <c r="F105" s="6">
        <f>IF('Model inputs'!F45="","",'Model inputs'!F45)</f>
        <v>0</v>
      </c>
      <c r="G105" s="6">
        <f>IF('Model inputs'!G45="","",'Model inputs'!G45)</f>
        <v>0</v>
      </c>
      <c r="H105" s="6">
        <f>IF('Model inputs'!H45="","",'Model inputs'!H45)</f>
        <v>0</v>
      </c>
      <c r="I105" s="6">
        <f>IF('Model inputs'!I45="","",'Model inputs'!I45)</f>
        <v>0</v>
      </c>
      <c r="J105" s="6">
        <f>IF('Model inputs'!J45="","",'Model inputs'!J45)</f>
        <v>0</v>
      </c>
      <c r="K105" s="6">
        <f>IF('Model inputs'!K45="","",'Model inputs'!K45)</f>
        <v>170</v>
      </c>
      <c r="L105" s="6">
        <f>IF('Model inputs'!L45="","",'Model inputs'!L45)</f>
        <v>170</v>
      </c>
      <c r="M105" s="6">
        <f>IF('Model inputs'!M45="","",'Model inputs'!M45)</f>
        <v>170</v>
      </c>
      <c r="N105" s="6">
        <f>IF('Model inputs'!N45="","",'Model inputs'!N45)</f>
        <v>170</v>
      </c>
      <c r="O105" s="6">
        <f>IF('Model inputs'!O45="","",'Model inputs'!O45)</f>
        <v>170</v>
      </c>
      <c r="P105" s="6">
        <f>IF('Model inputs'!P45="","",'Model inputs'!P45)</f>
        <v>170</v>
      </c>
      <c r="Q105" s="6">
        <f>IF('Model inputs'!Q45="","",'Model inputs'!Q45)</f>
        <v>170</v>
      </c>
      <c r="R105" s="6">
        <f>IF('Model inputs'!R45="","",'Model inputs'!R45)</f>
        <v>170</v>
      </c>
      <c r="S105" s="6">
        <f>IF('Model inputs'!S45="","",'Model inputs'!S45)</f>
        <v>170</v>
      </c>
      <c r="T105" s="6">
        <f>IF('Model inputs'!T45="","",'Model inputs'!T45)</f>
        <v>170</v>
      </c>
      <c r="U105" s="6">
        <f>IF('Model inputs'!U45="","",'Model inputs'!U45)</f>
        <v>170</v>
      </c>
      <c r="V105" s="6">
        <f>IF('Model inputs'!V45="","",'Model inputs'!V45)</f>
        <v>170</v>
      </c>
      <c r="W105" s="6">
        <f>IF('Model inputs'!W45="","",'Model inputs'!W45)</f>
        <v>170</v>
      </c>
      <c r="X105" s="6">
        <f>IF('Model inputs'!X45="","",'Model inputs'!X45)</f>
        <v>170</v>
      </c>
      <c r="Y105" s="6">
        <f>IF('Model inputs'!Y45="","",'Model inputs'!Y45)</f>
        <v>170</v>
      </c>
      <c r="Z105" s="6">
        <f>IF('Model inputs'!Z45="","",'Model inputs'!Z45)</f>
        <v>170</v>
      </c>
      <c r="AA105" s="6">
        <f>IF('Model inputs'!AA45="","",'Model inputs'!AA45)</f>
        <v>170</v>
      </c>
      <c r="AB105" s="6">
        <f>IF('Model inputs'!AB45="","",'Model inputs'!AB45)</f>
        <v>170</v>
      </c>
      <c r="AC105" s="6">
        <f>IF('Model inputs'!AC45="","",'Model inputs'!AC45)</f>
        <v>170</v>
      </c>
      <c r="AD105" s="6">
        <f>IF('Model inputs'!AD45="","",'Model inputs'!AD45)</f>
        <v>170</v>
      </c>
      <c r="AE105" s="6">
        <f>IF('Model inputs'!AE45="","",'Model inputs'!AE45)</f>
        <v>170</v>
      </c>
      <c r="AF105" s="6">
        <f>IF('Model inputs'!AF45="","",'Model inputs'!AF45)</f>
        <v>170</v>
      </c>
      <c r="AG105" s="6">
        <f>IF('Model inputs'!AG45="","",'Model inputs'!AG45)</f>
        <v>170</v>
      </c>
      <c r="AH105" s="6">
        <f>IF('Model inputs'!AH45="","",'Model inputs'!AH45)</f>
        <v>170</v>
      </c>
    </row>
    <row r="106" outlineLevel="1">
      <c r="A106" t="inlineStr" s="12">
        <is>
          <t xml:space="preserve">Fixed costs &gt; Accounting, legal &amp; misc</t>
        </is>
      </c>
      <c r="B106" s="8">
        <f>'Model inputs'!B91</f>
        <v>0</v>
      </c>
      <c r="C106" s="8">
        <f>'Model inputs'!C91</f>
        <v>0</v>
      </c>
      <c r="D106" s="8">
        <f>'Model inputs'!D91</f>
        <v>0</v>
      </c>
      <c r="E106" s="8">
        <f>'Model inputs'!E91</f>
        <v>0</v>
      </c>
      <c r="F106" s="8">
        <f>'Model inputs'!F91</f>
        <v>0</v>
      </c>
      <c r="G106" s="8">
        <f>'Model inputs'!G91</f>
        <v>0</v>
      </c>
      <c r="H106" s="8">
        <f>'Model inputs'!H91</f>
        <v>0</v>
      </c>
      <c r="I106" s="8">
        <f>'Model inputs'!I91</f>
        <v>0</v>
      </c>
      <c r="J106" s="8">
        <f>'Model inputs'!J91</f>
        <v>0</v>
      </c>
      <c r="K106" s="8">
        <f>IF('Model inputs'!AI150="","",'Model inputs'!AI150)</f>
        <v>50</v>
      </c>
      <c r="L106" s="8">
        <f>IF('Model inputs'!AI150="","",'Model inputs'!AI150)</f>
        <v>50</v>
      </c>
      <c r="M106" s="8">
        <f>IF('Model inputs'!AI150="","",'Model inputs'!AI150)</f>
        <v>50</v>
      </c>
      <c r="N106" s="8">
        <f>IF('Model inputs'!AI150="","",'Model inputs'!AI150)</f>
        <v>50</v>
      </c>
      <c r="O106" s="8">
        <f>IF('Model inputs'!AI150="","",'Model inputs'!AI150)</f>
        <v>50</v>
      </c>
      <c r="P106" s="8">
        <f>IF('Model inputs'!AI150="","",'Model inputs'!AI150)</f>
        <v>50</v>
      </c>
      <c r="Q106" s="8">
        <f>IF('Model inputs'!AI150="","",'Model inputs'!AI150)</f>
        <v>50</v>
      </c>
      <c r="R106" s="8">
        <f>IF('Model inputs'!AI150="","",'Model inputs'!AI150)</f>
        <v>50</v>
      </c>
      <c r="S106" s="8">
        <f>IF('Model inputs'!AI150="","",'Model inputs'!AI150)</f>
        <v>50</v>
      </c>
      <c r="T106" s="8">
        <f>IF('Model inputs'!AI150="","",'Model inputs'!AI150)</f>
        <v>50</v>
      </c>
      <c r="U106" s="8">
        <f>IF('Model inputs'!AI150="","",'Model inputs'!AI150)</f>
        <v>50</v>
      </c>
      <c r="V106" s="8">
        <f>IF('Model inputs'!AI150="","",'Model inputs'!AI150)</f>
        <v>50</v>
      </c>
      <c r="W106" s="8">
        <f>IF('Model inputs'!AI150="","",'Model inputs'!AI150)</f>
        <v>50</v>
      </c>
      <c r="X106" s="8">
        <f>IF('Model inputs'!AI150="","",'Model inputs'!AI150)</f>
        <v>50</v>
      </c>
      <c r="Y106" s="8">
        <f>IF('Model inputs'!AI150="","",'Model inputs'!AI150)</f>
        <v>50</v>
      </c>
      <c r="Z106" s="8">
        <f>IF('Model inputs'!AI150="","",'Model inputs'!AI150)</f>
        <v>50</v>
      </c>
      <c r="AA106" s="8">
        <f>IF('Model inputs'!AI150="","",'Model inputs'!AI150)</f>
        <v>50</v>
      </c>
      <c r="AB106" s="8">
        <f>IF('Model inputs'!AI150="","",'Model inputs'!AI150)</f>
        <v>50</v>
      </c>
      <c r="AC106" s="8">
        <f>IF('Model inputs'!AI150="","",'Model inputs'!AI150)</f>
        <v>50</v>
      </c>
      <c r="AD106" s="8">
        <f>IF('Model inputs'!AI150="","",'Model inputs'!AI150)</f>
        <v>50</v>
      </c>
      <c r="AE106" s="8">
        <f>IF('Model inputs'!AI150="","",'Model inputs'!AI150)</f>
        <v>50</v>
      </c>
      <c r="AF106" s="8">
        <f>IF('Model inputs'!AI150="","",'Model inputs'!AI150)</f>
        <v>50</v>
      </c>
      <c r="AG106" s="8">
        <f>IF('Model inputs'!AI150="","",'Model inputs'!AI150)</f>
        <v>50</v>
      </c>
      <c r="AH106" s="8">
        <f>IF('Model inputs'!AI150="","",'Model inputs'!AI150)</f>
        <v>50</v>
      </c>
    </row>
    <row r="107" outlineLevel="1">
      <c r="A107" t="inlineStr" s="12">
        <is>
          <t xml:space="preserve">Fixed costs &gt; Hosting</t>
        </is>
      </c>
      <c r="B107" s="8">
        <f>'Model inputs'!B92</f>
        <v>0</v>
      </c>
      <c r="C107" s="8">
        <f>'Model inputs'!C92</f>
        <v>0</v>
      </c>
      <c r="D107" s="8">
        <f>'Model inputs'!D92</f>
        <v>0</v>
      </c>
      <c r="E107" s="8">
        <f>'Model inputs'!E92</f>
        <v>0</v>
      </c>
      <c r="F107" s="8">
        <f>'Model inputs'!F92</f>
        <v>0</v>
      </c>
      <c r="G107" s="8">
        <f>'Model inputs'!G92</f>
        <v>0</v>
      </c>
      <c r="H107" s="8">
        <f>'Model inputs'!H92</f>
        <v>0</v>
      </c>
      <c r="I107" s="8">
        <f>'Model inputs'!I92</f>
        <v>0</v>
      </c>
      <c r="J107" s="8">
        <f>'Model inputs'!J92</f>
        <v>0</v>
      </c>
      <c r="K107" s="8">
        <f>IF('Model inputs'!AI151="","",'Model inputs'!AI151)</f>
        <v>40</v>
      </c>
      <c r="L107" s="8">
        <f>IF('Model inputs'!AI151="","",'Model inputs'!AI151)</f>
        <v>40</v>
      </c>
      <c r="M107" s="8">
        <f>IF('Model inputs'!AI151="","",'Model inputs'!AI151)</f>
        <v>40</v>
      </c>
      <c r="N107" s="8">
        <f>IF('Model inputs'!AI151="","",'Model inputs'!AI151)</f>
        <v>40</v>
      </c>
      <c r="O107" s="8">
        <f>IF('Model inputs'!AI151="","",'Model inputs'!AI151)</f>
        <v>40</v>
      </c>
      <c r="P107" s="8">
        <f>IF('Model inputs'!AI151="","",'Model inputs'!AI151)</f>
        <v>40</v>
      </c>
      <c r="Q107" s="8">
        <f>IF('Model inputs'!AI151="","",'Model inputs'!AI151)</f>
        <v>40</v>
      </c>
      <c r="R107" s="8">
        <f>IF('Model inputs'!AI151="","",'Model inputs'!AI151)</f>
        <v>40</v>
      </c>
      <c r="S107" s="8">
        <f>IF('Model inputs'!AI151="","",'Model inputs'!AI151)</f>
        <v>40</v>
      </c>
      <c r="T107" s="8">
        <f>IF('Model inputs'!AI151="","",'Model inputs'!AI151)</f>
        <v>40</v>
      </c>
      <c r="U107" s="8">
        <f>IF('Model inputs'!AI151="","",'Model inputs'!AI151)</f>
        <v>40</v>
      </c>
      <c r="V107" s="8">
        <f>IF('Model inputs'!AI151="","",'Model inputs'!AI151)</f>
        <v>40</v>
      </c>
      <c r="W107" s="8">
        <f>IF('Model inputs'!AI151="","",'Model inputs'!AI151)</f>
        <v>40</v>
      </c>
      <c r="X107" s="8">
        <f>IF('Model inputs'!AI151="","",'Model inputs'!AI151)</f>
        <v>40</v>
      </c>
      <c r="Y107" s="8">
        <f>IF('Model inputs'!AI151="","",'Model inputs'!AI151)</f>
        <v>40</v>
      </c>
      <c r="Z107" s="8">
        <f>IF('Model inputs'!AI151="","",'Model inputs'!AI151)</f>
        <v>40</v>
      </c>
      <c r="AA107" s="8">
        <f>IF('Model inputs'!AI151="","",'Model inputs'!AI151)</f>
        <v>40</v>
      </c>
      <c r="AB107" s="8">
        <f>IF('Model inputs'!AI151="","",'Model inputs'!AI151)</f>
        <v>40</v>
      </c>
      <c r="AC107" s="8">
        <f>IF('Model inputs'!AI151="","",'Model inputs'!AI151)</f>
        <v>40</v>
      </c>
      <c r="AD107" s="8">
        <f>IF('Model inputs'!AI151="","",'Model inputs'!AI151)</f>
        <v>40</v>
      </c>
      <c r="AE107" s="8">
        <f>IF('Model inputs'!AI151="","",'Model inputs'!AI151)</f>
        <v>40</v>
      </c>
      <c r="AF107" s="8">
        <f>IF('Model inputs'!AI151="","",'Model inputs'!AI151)</f>
        <v>40</v>
      </c>
      <c r="AG107" s="8">
        <f>IF('Model inputs'!AI151="","",'Model inputs'!AI151)</f>
        <v>40</v>
      </c>
      <c r="AH107" s="8">
        <f>IF('Model inputs'!AI151="","",'Model inputs'!AI151)</f>
        <v>40</v>
      </c>
    </row>
    <row r="108" outlineLevel="1">
      <c r="A108" t="inlineStr" s="12">
        <is>
          <t xml:space="preserve">Fixed costs &gt; Observability</t>
        </is>
      </c>
      <c r="B108" s="8">
        <f>'Model inputs'!B93</f>
        <v>0</v>
      </c>
      <c r="C108" s="8">
        <f>'Model inputs'!C93</f>
        <v>0</v>
      </c>
      <c r="D108" s="8">
        <f>'Model inputs'!D93</f>
        <v>0</v>
      </c>
      <c r="E108" s="8">
        <f>'Model inputs'!E93</f>
        <v>0</v>
      </c>
      <c r="F108" s="8">
        <f>'Model inputs'!F93</f>
        <v>0</v>
      </c>
      <c r="G108" s="8">
        <f>'Model inputs'!G93</f>
        <v>0</v>
      </c>
      <c r="H108" s="8">
        <f>'Model inputs'!H93</f>
        <v>0</v>
      </c>
      <c r="I108" s="8">
        <f>'Model inputs'!I93</f>
        <v>0</v>
      </c>
      <c r="J108" s="8">
        <f>'Model inputs'!J93</f>
        <v>0</v>
      </c>
      <c r="K108" s="8">
        <f>IF('Model inputs'!AI152="","",'Model inputs'!AI152)</f>
        <v>50</v>
      </c>
      <c r="L108" s="8">
        <f>IF('Model inputs'!AI152="","",'Model inputs'!AI152)</f>
        <v>50</v>
      </c>
      <c r="M108" s="8">
        <f>IF('Model inputs'!AI152="","",'Model inputs'!AI152)</f>
        <v>50</v>
      </c>
      <c r="N108" s="8">
        <f>IF('Model inputs'!AI152="","",'Model inputs'!AI152)</f>
        <v>50</v>
      </c>
      <c r="O108" s="8">
        <f>IF('Model inputs'!AI152="","",'Model inputs'!AI152)</f>
        <v>50</v>
      </c>
      <c r="P108" s="8">
        <f>IF('Model inputs'!AI152="","",'Model inputs'!AI152)</f>
        <v>50</v>
      </c>
      <c r="Q108" s="8">
        <f>IF('Model inputs'!AI152="","",'Model inputs'!AI152)</f>
        <v>50</v>
      </c>
      <c r="R108" s="8">
        <f>IF('Model inputs'!AI152="","",'Model inputs'!AI152)</f>
        <v>50</v>
      </c>
      <c r="S108" s="8">
        <f>IF('Model inputs'!AI152="","",'Model inputs'!AI152)</f>
        <v>50</v>
      </c>
      <c r="T108" s="8">
        <f>IF('Model inputs'!AI152="","",'Model inputs'!AI152)</f>
        <v>50</v>
      </c>
      <c r="U108" s="8">
        <f>IF('Model inputs'!AI152="","",'Model inputs'!AI152)</f>
        <v>50</v>
      </c>
      <c r="V108" s="8">
        <f>IF('Model inputs'!AI152="","",'Model inputs'!AI152)</f>
        <v>50</v>
      </c>
      <c r="W108" s="8">
        <f>IF('Model inputs'!AI152="","",'Model inputs'!AI152)</f>
        <v>50</v>
      </c>
      <c r="X108" s="8">
        <f>IF('Model inputs'!AI152="","",'Model inputs'!AI152)</f>
        <v>50</v>
      </c>
      <c r="Y108" s="8">
        <f>IF('Model inputs'!AI152="","",'Model inputs'!AI152)</f>
        <v>50</v>
      </c>
      <c r="Z108" s="8">
        <f>IF('Model inputs'!AI152="","",'Model inputs'!AI152)</f>
        <v>50</v>
      </c>
      <c r="AA108" s="8">
        <f>IF('Model inputs'!AI152="","",'Model inputs'!AI152)</f>
        <v>50</v>
      </c>
      <c r="AB108" s="8">
        <f>IF('Model inputs'!AI152="","",'Model inputs'!AI152)</f>
        <v>50</v>
      </c>
      <c r="AC108" s="8">
        <f>IF('Model inputs'!AI152="","",'Model inputs'!AI152)</f>
        <v>50</v>
      </c>
      <c r="AD108" s="8">
        <f>IF('Model inputs'!AI152="","",'Model inputs'!AI152)</f>
        <v>50</v>
      </c>
      <c r="AE108" s="8">
        <f>IF('Model inputs'!AI152="","",'Model inputs'!AI152)</f>
        <v>50</v>
      </c>
      <c r="AF108" s="8">
        <f>IF('Model inputs'!AI152="","",'Model inputs'!AI152)</f>
        <v>50</v>
      </c>
      <c r="AG108" s="8">
        <f>IF('Model inputs'!AI152="","",'Model inputs'!AI152)</f>
        <v>50</v>
      </c>
      <c r="AH108" s="8">
        <f>IF('Model inputs'!AI152="","",'Model inputs'!AI152)</f>
        <v>50</v>
      </c>
    </row>
    <row r="109" outlineLevel="1">
      <c r="A109" t="inlineStr" s="12">
        <is>
          <t xml:space="preserve">Fixed costs &gt; Tooling &amp; misc</t>
        </is>
      </c>
      <c r="B109" s="8">
        <f>'Model inputs'!B94</f>
        <v>0</v>
      </c>
      <c r="C109" s="8">
        <f>'Model inputs'!C94</f>
        <v>0</v>
      </c>
      <c r="D109" s="8">
        <f>'Model inputs'!D94</f>
        <v>0</v>
      </c>
      <c r="E109" s="8">
        <f>'Model inputs'!E94</f>
        <v>0</v>
      </c>
      <c r="F109" s="8">
        <f>'Model inputs'!F94</f>
        <v>0</v>
      </c>
      <c r="G109" s="8">
        <f>'Model inputs'!G94</f>
        <v>0</v>
      </c>
      <c r="H109" s="8">
        <f>'Model inputs'!H94</f>
        <v>0</v>
      </c>
      <c r="I109" s="8">
        <f>'Model inputs'!I94</f>
        <v>0</v>
      </c>
      <c r="J109" s="8">
        <f>'Model inputs'!J94</f>
        <v>0</v>
      </c>
      <c r="K109" s="8">
        <f>IF('Model inputs'!AI153="","",'Model inputs'!AI153)</f>
        <v>30</v>
      </c>
      <c r="L109" s="8">
        <f>IF('Model inputs'!AI153="","",'Model inputs'!AI153)</f>
        <v>30</v>
      </c>
      <c r="M109" s="8">
        <f>IF('Model inputs'!AI153="","",'Model inputs'!AI153)</f>
        <v>30</v>
      </c>
      <c r="N109" s="8">
        <f>IF('Model inputs'!AI153="","",'Model inputs'!AI153)</f>
        <v>30</v>
      </c>
      <c r="O109" s="8">
        <f>IF('Model inputs'!AI153="","",'Model inputs'!AI153)</f>
        <v>30</v>
      </c>
      <c r="P109" s="8">
        <f>IF('Model inputs'!AI153="","",'Model inputs'!AI153)</f>
        <v>30</v>
      </c>
      <c r="Q109" s="8">
        <f>IF('Model inputs'!AI153="","",'Model inputs'!AI153)</f>
        <v>30</v>
      </c>
      <c r="R109" s="8">
        <f>IF('Model inputs'!AI153="","",'Model inputs'!AI153)</f>
        <v>30</v>
      </c>
      <c r="S109" s="8">
        <f>IF('Model inputs'!AI153="","",'Model inputs'!AI153)</f>
        <v>30</v>
      </c>
      <c r="T109" s="8">
        <f>IF('Model inputs'!AI153="","",'Model inputs'!AI153)</f>
        <v>30</v>
      </c>
      <c r="U109" s="8">
        <f>IF('Model inputs'!AI153="","",'Model inputs'!AI153)</f>
        <v>30</v>
      </c>
      <c r="V109" s="8">
        <f>IF('Model inputs'!AI153="","",'Model inputs'!AI153)</f>
        <v>30</v>
      </c>
      <c r="W109" s="8">
        <f>IF('Model inputs'!AI153="","",'Model inputs'!AI153)</f>
        <v>30</v>
      </c>
      <c r="X109" s="8">
        <f>IF('Model inputs'!AI153="","",'Model inputs'!AI153)</f>
        <v>30</v>
      </c>
      <c r="Y109" s="8">
        <f>IF('Model inputs'!AI153="","",'Model inputs'!AI153)</f>
        <v>30</v>
      </c>
      <c r="Z109" s="8">
        <f>IF('Model inputs'!AI153="","",'Model inputs'!AI153)</f>
        <v>30</v>
      </c>
      <c r="AA109" s="8">
        <f>IF('Model inputs'!AI153="","",'Model inputs'!AI153)</f>
        <v>30</v>
      </c>
      <c r="AB109" s="8">
        <f>IF('Model inputs'!AI153="","",'Model inputs'!AI153)</f>
        <v>30</v>
      </c>
      <c r="AC109" s="8">
        <f>IF('Model inputs'!AI153="","",'Model inputs'!AI153)</f>
        <v>30</v>
      </c>
      <c r="AD109" s="8">
        <f>IF('Model inputs'!AI153="","",'Model inputs'!AI153)</f>
        <v>30</v>
      </c>
      <c r="AE109" s="8">
        <f>IF('Model inputs'!AI153="","",'Model inputs'!AI153)</f>
        <v>30</v>
      </c>
      <c r="AF109" s="8">
        <f>IF('Model inputs'!AI153="","",'Model inputs'!AI153)</f>
        <v>30</v>
      </c>
      <c r="AG109" s="8">
        <f>IF('Model inputs'!AI153="","",'Model inputs'!AI153)</f>
        <v>30</v>
      </c>
      <c r="AH109" s="8">
        <f>IF('Model inputs'!AI153="","",'Model inputs'!AI153)</f>
        <v>30</v>
      </c>
    </row>
    <row r="110">
      <c r="A110" t="inlineStr" s="11">
        <is>
          <t xml:space="preserve">Founder salary · Main Scenario</t>
        </is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f>IF('Model inputs'!AI130="","",'Model inputs'!AI130)</f>
        <v>2000</v>
      </c>
      <c r="L110" s="8">
        <f>IF('Model inputs'!AI130="","",'Model inputs'!AI130)</f>
        <v>2000</v>
      </c>
      <c r="M110" s="8">
        <f>IF('Model inputs'!AI130="","",'Model inputs'!AI130)</f>
        <v>2000</v>
      </c>
      <c r="N110" s="8">
        <f>IF('Model inputs'!AI130="","",'Model inputs'!AI130)</f>
        <v>2000</v>
      </c>
      <c r="O110" s="8">
        <f>IF('Model inputs'!AI130="","",'Model inputs'!AI130)</f>
        <v>2000</v>
      </c>
      <c r="P110" s="8">
        <f>IF('Model inputs'!AI130="","",'Model inputs'!AI130)</f>
        <v>2000</v>
      </c>
      <c r="Q110" s="8">
        <f>IF('Model inputs'!AI130="","",'Model inputs'!AI130)</f>
        <v>2000</v>
      </c>
      <c r="R110" s="8">
        <f>IF('Model inputs'!AI130="","",'Model inputs'!AI130)</f>
        <v>2000</v>
      </c>
      <c r="S110" s="8">
        <f>IF('Model inputs'!AI130="","",'Model inputs'!AI130)</f>
        <v>2000</v>
      </c>
      <c r="T110" s="8">
        <f>IF('Model inputs'!AI130="","",'Model inputs'!AI130)</f>
        <v>2000</v>
      </c>
      <c r="U110" s="8">
        <f>IF('Model inputs'!AI130="","",'Model inputs'!AI130)</f>
        <v>2000</v>
      </c>
      <c r="V110" s="8">
        <f>IF('Model inputs'!AI130="","",'Model inputs'!AI130)</f>
        <v>2000</v>
      </c>
      <c r="W110" s="8">
        <f>IF('Model inputs'!AI130="","",'Model inputs'!AI130)</f>
        <v>2000</v>
      </c>
      <c r="X110" s="8">
        <f>IF('Model inputs'!AI130="","",'Model inputs'!AI130)</f>
        <v>2000</v>
      </c>
      <c r="Y110" s="8">
        <f>IF('Model inputs'!AI130="","",'Model inputs'!AI130)</f>
        <v>2000</v>
      </c>
      <c r="Z110" s="8">
        <f>IF('Model inputs'!AI130="","",'Model inputs'!AI130)</f>
        <v>2000</v>
      </c>
      <c r="AA110" s="8">
        <f>IF('Model inputs'!AI130="","",'Model inputs'!AI130)</f>
        <v>2000</v>
      </c>
      <c r="AB110" s="8">
        <f>IF('Model inputs'!AI130="","",'Model inputs'!AI130)</f>
        <v>2000</v>
      </c>
      <c r="AC110" s="8">
        <f>IF('Model inputs'!AI130="","",'Model inputs'!AI130)</f>
        <v>2000</v>
      </c>
      <c r="AD110" s="8">
        <f>IF('Model inputs'!AI130="","",'Model inputs'!AI130)</f>
        <v>2000</v>
      </c>
      <c r="AE110" s="8">
        <f>IF('Model inputs'!AI130="","",'Model inputs'!AI130)</f>
        <v>2000</v>
      </c>
      <c r="AF110" s="8">
        <f>IF('Model inputs'!AI130="","",'Model inputs'!AI130)</f>
        <v>2000</v>
      </c>
      <c r="AG110" s="8">
        <f>IF('Model inputs'!AI130="","",'Model inputs'!AI130)</f>
        <v>2000</v>
      </c>
      <c r="AH110" s="8">
        <f>IF('Model inputs'!AI130="","",'Model inputs'!AI130)</f>
        <v>2000</v>
      </c>
    </row>
    <row r="111">
      <c r="A111" t="inlineStr" s="11">
        <is>
          <t xml:space="preserve">Founder salary · Growth · $0.60</t>
        </is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f>IF('Model inputs'!AI131="","",'Model inputs'!AI131)</f>
        <v>2000</v>
      </c>
      <c r="L111" s="8">
        <f>IF('Model inputs'!AI131="","",'Model inputs'!AI131)</f>
        <v>2000</v>
      </c>
      <c r="M111" s="8">
        <f>IF('Model inputs'!AI131="","",'Model inputs'!AI131)</f>
        <v>2000</v>
      </c>
      <c r="N111" s="8">
        <f>IF('Model inputs'!AI131="","",'Model inputs'!AI131)</f>
        <v>2000</v>
      </c>
      <c r="O111" s="8">
        <f>IF('Model inputs'!AI131="","",'Model inputs'!AI131)</f>
        <v>2000</v>
      </c>
      <c r="P111" s="8">
        <f>IF('Model inputs'!AI131="","",'Model inputs'!AI131)</f>
        <v>2000</v>
      </c>
      <c r="Q111" s="8">
        <f>IF('Model inputs'!AI131="","",'Model inputs'!AI131)</f>
        <v>2000</v>
      </c>
      <c r="R111" s="8">
        <f>IF('Model inputs'!AI131="","",'Model inputs'!AI131)</f>
        <v>2000</v>
      </c>
      <c r="S111" s="8">
        <f>IF('Model inputs'!AI131="","",'Model inputs'!AI131)</f>
        <v>2000</v>
      </c>
      <c r="T111" s="8">
        <f>IF('Model inputs'!AI131="","",'Model inputs'!AI131)</f>
        <v>2000</v>
      </c>
      <c r="U111" s="8">
        <f>IF('Model inputs'!AI131="","",'Model inputs'!AI131)</f>
        <v>2000</v>
      </c>
      <c r="V111" s="8">
        <f>IF('Model inputs'!AI131="","",'Model inputs'!AI131)</f>
        <v>2000</v>
      </c>
      <c r="W111" s="8">
        <f>IF('Model inputs'!AI131="","",'Model inputs'!AI131)</f>
        <v>2000</v>
      </c>
      <c r="X111" s="8">
        <f>IF('Model inputs'!AI131="","",'Model inputs'!AI131)</f>
        <v>2000</v>
      </c>
      <c r="Y111" s="8">
        <f>IF('Model inputs'!AI131="","",'Model inputs'!AI131)</f>
        <v>2000</v>
      </c>
      <c r="Z111" s="8">
        <f>IF('Model inputs'!AI131="","",'Model inputs'!AI131)</f>
        <v>2000</v>
      </c>
      <c r="AA111" s="8">
        <f>IF('Model inputs'!AI131="","",'Model inputs'!AI131)</f>
        <v>2000</v>
      </c>
      <c r="AB111" s="8">
        <f>IF('Model inputs'!AI131="","",'Model inputs'!AI131)</f>
        <v>2000</v>
      </c>
      <c r="AC111" s="8">
        <f>IF('Model inputs'!AI131="","",'Model inputs'!AI131)</f>
        <v>2000</v>
      </c>
      <c r="AD111" s="8">
        <f>IF('Model inputs'!AI131="","",'Model inputs'!AI131)</f>
        <v>2000</v>
      </c>
      <c r="AE111" s="8">
        <f>IF('Model inputs'!AI131="","",'Model inputs'!AI131)</f>
        <v>2000</v>
      </c>
      <c r="AF111" s="8">
        <f>IF('Model inputs'!AI131="","",'Model inputs'!AI131)</f>
        <v>2000</v>
      </c>
      <c r="AG111" s="8">
        <f>IF('Model inputs'!AI131="","",'Model inputs'!AI131)</f>
        <v>2000</v>
      </c>
      <c r="AH111" s="8">
        <f>IF('Model inputs'!AI131="","",'Model inputs'!AI131)</f>
        <v>2000</v>
      </c>
    </row>
    <row r="112">
      <c r="A112" t="inlineStr" s="11">
        <is>
          <t xml:space="preserve">Founder salary · Base · $0.60</t>
        </is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f>IF('Model inputs'!AI132="","",'Model inputs'!AI132)</f>
        <v>2000</v>
      </c>
      <c r="L112" s="8">
        <f>IF('Model inputs'!AI132="","",'Model inputs'!AI132)</f>
        <v>2000</v>
      </c>
      <c r="M112" s="8">
        <f>IF('Model inputs'!AI132="","",'Model inputs'!AI132)</f>
        <v>2000</v>
      </c>
      <c r="N112" s="8">
        <f>IF('Model inputs'!AI132="","",'Model inputs'!AI132)</f>
        <v>2000</v>
      </c>
      <c r="O112" s="8">
        <f>IF('Model inputs'!AI132="","",'Model inputs'!AI132)</f>
        <v>2000</v>
      </c>
      <c r="P112" s="8">
        <f>IF('Model inputs'!AI132="","",'Model inputs'!AI132)</f>
        <v>2000</v>
      </c>
      <c r="Q112" s="8">
        <f>IF('Model inputs'!AI132="","",'Model inputs'!AI132)</f>
        <v>2000</v>
      </c>
      <c r="R112" s="8">
        <f>IF('Model inputs'!AI132="","",'Model inputs'!AI132)</f>
        <v>2000</v>
      </c>
      <c r="S112" s="8">
        <f>IF('Model inputs'!AI132="","",'Model inputs'!AI132)</f>
        <v>2000</v>
      </c>
      <c r="T112" s="8">
        <f>IF('Model inputs'!AI132="","",'Model inputs'!AI132)</f>
        <v>2000</v>
      </c>
      <c r="U112" s="8">
        <f>IF('Model inputs'!AI132="","",'Model inputs'!AI132)</f>
        <v>2000</v>
      </c>
      <c r="V112" s="8">
        <f>IF('Model inputs'!AI132="","",'Model inputs'!AI132)</f>
        <v>2000</v>
      </c>
      <c r="W112" s="8">
        <f>IF('Model inputs'!AI132="","",'Model inputs'!AI132)</f>
        <v>2000</v>
      </c>
      <c r="X112" s="8">
        <f>IF('Model inputs'!AI132="","",'Model inputs'!AI132)</f>
        <v>2000</v>
      </c>
      <c r="Y112" s="8">
        <f>IF('Model inputs'!AI132="","",'Model inputs'!AI132)</f>
        <v>2000</v>
      </c>
      <c r="Z112" s="8">
        <f>IF('Model inputs'!AI132="","",'Model inputs'!AI132)</f>
        <v>2000</v>
      </c>
      <c r="AA112" s="8">
        <f>IF('Model inputs'!AI132="","",'Model inputs'!AI132)</f>
        <v>2000</v>
      </c>
      <c r="AB112" s="8">
        <f>IF('Model inputs'!AI132="","",'Model inputs'!AI132)</f>
        <v>2000</v>
      </c>
      <c r="AC112" s="8">
        <f>IF('Model inputs'!AI132="","",'Model inputs'!AI132)</f>
        <v>2000</v>
      </c>
      <c r="AD112" s="8">
        <f>IF('Model inputs'!AI132="","",'Model inputs'!AI132)</f>
        <v>2000</v>
      </c>
      <c r="AE112" s="8">
        <f>IF('Model inputs'!AI132="","",'Model inputs'!AI132)</f>
        <v>2000</v>
      </c>
      <c r="AF112" s="8">
        <f>IF('Model inputs'!AI132="","",'Model inputs'!AI132)</f>
        <v>2000</v>
      </c>
      <c r="AG112" s="8">
        <f>IF('Model inputs'!AI132="","",'Model inputs'!AI132)</f>
        <v>2000</v>
      </c>
      <c r="AH112" s="8">
        <f>IF('Model inputs'!AI132="","",'Model inputs'!AI132)</f>
        <v>2000</v>
      </c>
    </row>
    <row r="113">
      <c r="A113" t="inlineStr" s="11">
        <is>
          <t xml:space="preserve">Founder salary · Growth · $0.34</t>
        </is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f>IF('Model inputs'!AI133="","",'Model inputs'!AI133)</f>
        <v>2000</v>
      </c>
      <c r="L113" s="8">
        <f>IF('Model inputs'!AI133="","",'Model inputs'!AI133)</f>
        <v>2000</v>
      </c>
      <c r="M113" s="8">
        <f>IF('Model inputs'!AI133="","",'Model inputs'!AI133)</f>
        <v>2000</v>
      </c>
      <c r="N113" s="8">
        <f>IF('Model inputs'!AI133="","",'Model inputs'!AI133)</f>
        <v>2000</v>
      </c>
      <c r="O113" s="8">
        <f>IF('Model inputs'!AI133="","",'Model inputs'!AI133)</f>
        <v>2000</v>
      </c>
      <c r="P113" s="8">
        <f>IF('Model inputs'!AI133="","",'Model inputs'!AI133)</f>
        <v>2000</v>
      </c>
      <c r="Q113" s="8">
        <f>IF('Model inputs'!AI133="","",'Model inputs'!AI133)</f>
        <v>2000</v>
      </c>
      <c r="R113" s="8">
        <f>IF('Model inputs'!AI133="","",'Model inputs'!AI133)</f>
        <v>2000</v>
      </c>
      <c r="S113" s="8">
        <f>IF('Model inputs'!AI133="","",'Model inputs'!AI133)</f>
        <v>2000</v>
      </c>
      <c r="T113" s="8">
        <f>IF('Model inputs'!AI133="","",'Model inputs'!AI133)</f>
        <v>2000</v>
      </c>
      <c r="U113" s="8">
        <f>IF('Model inputs'!AI133="","",'Model inputs'!AI133)</f>
        <v>2000</v>
      </c>
      <c r="V113" s="8">
        <f>IF('Model inputs'!AI133="","",'Model inputs'!AI133)</f>
        <v>2000</v>
      </c>
      <c r="W113" s="8">
        <f>IF('Model inputs'!AI133="","",'Model inputs'!AI133)</f>
        <v>2000</v>
      </c>
      <c r="X113" s="8">
        <f>IF('Model inputs'!AI133="","",'Model inputs'!AI133)</f>
        <v>2000</v>
      </c>
      <c r="Y113" s="8">
        <f>IF('Model inputs'!AI133="","",'Model inputs'!AI133)</f>
        <v>2000</v>
      </c>
      <c r="Z113" s="8">
        <f>IF('Model inputs'!AI133="","",'Model inputs'!AI133)</f>
        <v>2000</v>
      </c>
      <c r="AA113" s="8">
        <f>IF('Model inputs'!AI133="","",'Model inputs'!AI133)</f>
        <v>2000</v>
      </c>
      <c r="AB113" s="8">
        <f>IF('Model inputs'!AI133="","",'Model inputs'!AI133)</f>
        <v>2000</v>
      </c>
      <c r="AC113" s="8">
        <f>IF('Model inputs'!AI133="","",'Model inputs'!AI133)</f>
        <v>2000</v>
      </c>
      <c r="AD113" s="8">
        <f>IF('Model inputs'!AI133="","",'Model inputs'!AI133)</f>
        <v>2000</v>
      </c>
      <c r="AE113" s="8">
        <f>IF('Model inputs'!AI133="","",'Model inputs'!AI133)</f>
        <v>2000</v>
      </c>
      <c r="AF113" s="8">
        <f>IF('Model inputs'!AI133="","",'Model inputs'!AI133)</f>
        <v>2000</v>
      </c>
      <c r="AG113" s="8">
        <f>IF('Model inputs'!AI133="","",'Model inputs'!AI133)</f>
        <v>2000</v>
      </c>
      <c r="AH113" s="8">
        <f>IF('Model inputs'!AI133="","",'Model inputs'!AI133)</f>
        <v>2000</v>
      </c>
    </row>
    <row r="114">
      <c r="A114" t="inlineStr" s="11">
        <is>
          <t xml:space="preserve">Launch month · Months since launch · Main Scenario · Main Scenario</t>
        </is>
      </c>
      <c r="AI114" s="13">
        <f>DATE(2026,11,1)</f>
        <v>46327</v>
      </c>
    </row>
    <row r="115">
      <c r="A115" t="inlineStr" s="11">
        <is>
          <t xml:space="preserve">Launch month · Months since launch · Growth · $0.60 · Growth · $0.60</t>
        </is>
      </c>
      <c r="AI115" s="13">
        <f>DATE(2026,11,1)</f>
        <v>46327</v>
      </c>
    </row>
    <row r="116">
      <c r="A116" t="inlineStr" s="11">
        <is>
          <t xml:space="preserve">Launch month · Months since launch · Base · $0.60 · Base · $0.60</t>
        </is>
      </c>
      <c r="AI116" s="13">
        <f>DATE(2026,11,1)</f>
        <v>46327</v>
      </c>
    </row>
    <row r="117">
      <c r="A117" t="inlineStr" s="11">
        <is>
          <t xml:space="preserve">Launch month · Months since launch · Growth · $0.34 · Growth · $0.34</t>
        </is>
      </c>
      <c r="AI117" s="13">
        <f>DATE(2026,11,1)</f>
        <v>46327</v>
      </c>
    </row>
    <row r="118">
      <c r="A118" t="inlineStr" s="11">
        <is>
          <t xml:space="preserve">Payment processing · Main Scenario</t>
        </is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f>'Model inputs'!K30*'Model inputs'!AI122</f>
        <v>0</v>
      </c>
      <c r="L118" s="8">
        <f>'Model inputs'!L30*'Model inputs'!AI122</f>
        <v>7.65</v>
      </c>
      <c r="M118" s="8">
        <f>'Model inputs'!M30*'Model inputs'!AI122</f>
        <v>7.65</v>
      </c>
      <c r="N118" s="8">
        <f>'Model inputs'!N30*'Model inputs'!AI122</f>
        <v>7.65</v>
      </c>
      <c r="O118" s="8">
        <f>'Model inputs'!O30*'Model inputs'!AI122</f>
        <v>7.65</v>
      </c>
      <c r="P118" s="8">
        <f>'Model inputs'!P30*'Model inputs'!AI122</f>
        <v>7.65</v>
      </c>
      <c r="Q118" s="8">
        <f>'Model inputs'!Q30*'Model inputs'!AI122</f>
        <v>7.65</v>
      </c>
      <c r="R118" s="8">
        <f>'Model inputs'!R30*'Model inputs'!AI122</f>
        <v>7.65</v>
      </c>
      <c r="S118" s="8">
        <f>'Model inputs'!S30*'Model inputs'!AI122</f>
        <v>7.65</v>
      </c>
      <c r="T118" s="8">
        <f>'Model inputs'!T30*'Model inputs'!AI122</f>
        <v>7.65</v>
      </c>
      <c r="U118" s="8">
        <f>'Model inputs'!U30*'Model inputs'!AI122</f>
        <v>7.65</v>
      </c>
      <c r="V118" s="8">
        <f>'Model inputs'!V30*'Model inputs'!AI122</f>
        <v>7.65</v>
      </c>
      <c r="W118" s="8">
        <f>'Model inputs'!W30*'Model inputs'!AI122</f>
        <v>7.65</v>
      </c>
      <c r="X118" s="8">
        <f>'Model inputs'!X30*'Model inputs'!AI122</f>
        <v>7.65</v>
      </c>
      <c r="Y118" s="8">
        <f>'Model inputs'!Y30*'Model inputs'!AI122</f>
        <v>7.65</v>
      </c>
      <c r="Z118" s="8">
        <f>'Model inputs'!Z30*'Model inputs'!AI122</f>
        <v>7.65</v>
      </c>
      <c r="AA118" s="8">
        <f>'Model inputs'!AA30*'Model inputs'!AI122</f>
        <v>7.65</v>
      </c>
      <c r="AB118" s="8">
        <f>'Model inputs'!AB30*'Model inputs'!AI122</f>
        <v>7.65</v>
      </c>
      <c r="AC118" s="8">
        <f>'Model inputs'!AC30*'Model inputs'!AI122</f>
        <v>7.65</v>
      </c>
      <c r="AD118" s="8">
        <f>'Model inputs'!AD30*'Model inputs'!AI122</f>
        <v>7.65</v>
      </c>
      <c r="AE118" s="8">
        <f>'Model inputs'!AE30*'Model inputs'!AI122</f>
        <v>7.65</v>
      </c>
      <c r="AF118" s="8">
        <f>'Model inputs'!AF30*'Model inputs'!AI122</f>
        <v>7.65</v>
      </c>
      <c r="AG118" s="8">
        <f>'Model inputs'!AG30*'Model inputs'!AI122</f>
        <v>7.65</v>
      </c>
      <c r="AH118" s="8">
        <f>'Model inputs'!AH30*'Model inputs'!AI122</f>
        <v>7.65</v>
      </c>
    </row>
    <row r="119">
      <c r="A119" t="inlineStr" s="11">
        <is>
          <t xml:space="preserve">Payment processing · Growth · $0.60</t>
        </is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f>'Model inputs'!K31*'Model inputs'!AI123</f>
        <v>0</v>
      </c>
      <c r="L119" s="8">
        <f>'Model inputs'!L31*'Model inputs'!AI123</f>
        <v>11.475</v>
      </c>
      <c r="M119" s="8">
        <f>'Model inputs'!M31*'Model inputs'!AI123</f>
        <v>14.34375</v>
      </c>
      <c r="N119" s="8">
        <f>'Model inputs'!N31*'Model inputs'!AI123</f>
        <v>17.9296875</v>
      </c>
      <c r="O119" s="8">
        <f>'Model inputs'!O31*'Model inputs'!AI123</f>
        <v>22.412109375</v>
      </c>
      <c r="P119" s="8">
        <f>'Model inputs'!P31*'Model inputs'!AI123</f>
        <v>28.01513671875</v>
      </c>
      <c r="Q119" s="8">
        <f>'Model inputs'!Q31*'Model inputs'!AI123</f>
        <v>35.0189208984375</v>
      </c>
      <c r="R119" s="8">
        <f>'Model inputs'!R31*'Model inputs'!AI123</f>
        <v>43.773651123046875</v>
      </c>
      <c r="S119" s="8">
        <f>'Model inputs'!S31*'Model inputs'!AI123</f>
        <v>54.717063903808594</v>
      </c>
      <c r="T119" s="8">
        <f>'Model inputs'!T31*'Model inputs'!AI123</f>
        <v>68.39632987976074</v>
      </c>
      <c r="U119" s="8">
        <f>'Model inputs'!U31*'Model inputs'!AI123</f>
        <v>85.49541234970093</v>
      </c>
      <c r="V119" s="8">
        <f>'Model inputs'!V31*'Model inputs'!AI123</f>
        <v>106.86926543712616</v>
      </c>
      <c r="W119" s="8">
        <f>'Model inputs'!W31*'Model inputs'!AI123</f>
        <v>133.5865817964077</v>
      </c>
      <c r="X119" s="8">
        <f>'Model inputs'!X31*'Model inputs'!AI123</f>
        <v>133.5865817964077</v>
      </c>
      <c r="Y119" s="8">
        <f>'Model inputs'!Y31*'Model inputs'!AI123</f>
        <v>133.5865817964077</v>
      </c>
      <c r="Z119" s="8">
        <f>'Model inputs'!Z31*'Model inputs'!AI123</f>
        <v>133.5865817964077</v>
      </c>
      <c r="AA119" s="8">
        <f>'Model inputs'!AA31*'Model inputs'!AI123</f>
        <v>133.5865817964077</v>
      </c>
      <c r="AB119" s="8">
        <f>'Model inputs'!AB31*'Model inputs'!AI123</f>
        <v>133.5865817964077</v>
      </c>
      <c r="AC119" s="8">
        <f>'Model inputs'!AC31*'Model inputs'!AI123</f>
        <v>133.5865817964077</v>
      </c>
      <c r="AD119" s="8">
        <f>'Model inputs'!AD31*'Model inputs'!AI123</f>
        <v>133.5865817964077</v>
      </c>
      <c r="AE119" s="8">
        <f>'Model inputs'!AE31*'Model inputs'!AI123</f>
        <v>133.5865817964077</v>
      </c>
      <c r="AF119" s="8">
        <f>'Model inputs'!AF31*'Model inputs'!AI123</f>
        <v>133.5865817964077</v>
      </c>
      <c r="AG119" s="8">
        <f>'Model inputs'!AG31*'Model inputs'!AI123</f>
        <v>133.5865817964077</v>
      </c>
      <c r="AH119" s="8">
        <f>'Model inputs'!AH31*'Model inputs'!AI123</f>
        <v>133.5865817964077</v>
      </c>
    </row>
    <row r="120">
      <c r="A120" t="inlineStr" s="11">
        <is>
          <t xml:space="preserve">Payment processing · Base · $0.60</t>
        </is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f>'Model inputs'!K32*'Model inputs'!AI124</f>
        <v>0</v>
      </c>
      <c r="L120" s="8">
        <f>'Model inputs'!L32*'Model inputs'!AI124</f>
        <v>11.475</v>
      </c>
      <c r="M120" s="8">
        <f>'Model inputs'!M32*'Model inputs'!AI124</f>
        <v>11.475</v>
      </c>
      <c r="N120" s="8">
        <f>'Model inputs'!N32*'Model inputs'!AI124</f>
        <v>11.475</v>
      </c>
      <c r="O120" s="8">
        <f>'Model inputs'!O32*'Model inputs'!AI124</f>
        <v>11.475</v>
      </c>
      <c r="P120" s="8">
        <f>'Model inputs'!P32*'Model inputs'!AI124</f>
        <v>11.475</v>
      </c>
      <c r="Q120" s="8">
        <f>'Model inputs'!Q32*'Model inputs'!AI124</f>
        <v>11.475</v>
      </c>
      <c r="R120" s="8">
        <f>'Model inputs'!R32*'Model inputs'!AI124</f>
        <v>11.475</v>
      </c>
      <c r="S120" s="8">
        <f>'Model inputs'!S32*'Model inputs'!AI124</f>
        <v>11.475</v>
      </c>
      <c r="T120" s="8">
        <f>'Model inputs'!T32*'Model inputs'!AI124</f>
        <v>11.475</v>
      </c>
      <c r="U120" s="8">
        <f>'Model inputs'!U32*'Model inputs'!AI124</f>
        <v>11.475</v>
      </c>
      <c r="V120" s="8">
        <f>'Model inputs'!V32*'Model inputs'!AI124</f>
        <v>11.475</v>
      </c>
      <c r="W120" s="8">
        <f>'Model inputs'!W32*'Model inputs'!AI124</f>
        <v>11.475</v>
      </c>
      <c r="X120" s="8">
        <f>'Model inputs'!X32*'Model inputs'!AI124</f>
        <v>11.475</v>
      </c>
      <c r="Y120" s="8">
        <f>'Model inputs'!Y32*'Model inputs'!AI124</f>
        <v>11.475</v>
      </c>
      <c r="Z120" s="8">
        <f>'Model inputs'!Z32*'Model inputs'!AI124</f>
        <v>11.475</v>
      </c>
      <c r="AA120" s="8">
        <f>'Model inputs'!AA32*'Model inputs'!AI124</f>
        <v>11.475</v>
      </c>
      <c r="AB120" s="8">
        <f>'Model inputs'!AB32*'Model inputs'!AI124</f>
        <v>11.475</v>
      </c>
      <c r="AC120" s="8">
        <f>'Model inputs'!AC32*'Model inputs'!AI124</f>
        <v>11.475</v>
      </c>
      <c r="AD120" s="8">
        <f>'Model inputs'!AD32*'Model inputs'!AI124</f>
        <v>11.475</v>
      </c>
      <c r="AE120" s="8">
        <f>'Model inputs'!AE32*'Model inputs'!AI124</f>
        <v>11.475</v>
      </c>
      <c r="AF120" s="8">
        <f>'Model inputs'!AF32*'Model inputs'!AI124</f>
        <v>11.475</v>
      </c>
      <c r="AG120" s="8">
        <f>'Model inputs'!AG32*'Model inputs'!AI124</f>
        <v>11.475</v>
      </c>
      <c r="AH120" s="8">
        <f>'Model inputs'!AH32*'Model inputs'!AI124</f>
        <v>11.475</v>
      </c>
    </row>
    <row r="121">
      <c r="A121" t="inlineStr" s="11">
        <is>
          <t xml:space="preserve">Payment processing · Growth · $0.34</t>
        </is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f>'Model inputs'!K33*'Model inputs'!AI125</f>
        <v>0</v>
      </c>
      <c r="L121" s="8">
        <f>'Model inputs'!L33*'Model inputs'!AI125</f>
        <v>7.65</v>
      </c>
      <c r="M121" s="8">
        <f>'Model inputs'!M33*'Model inputs'!AI125</f>
        <v>9.5625</v>
      </c>
      <c r="N121" s="8">
        <f>'Model inputs'!N33*'Model inputs'!AI125</f>
        <v>11.953125000000002</v>
      </c>
      <c r="O121" s="8">
        <f>'Model inputs'!O33*'Model inputs'!AI125</f>
        <v>14.941406250000002</v>
      </c>
      <c r="P121" s="8">
        <f>'Model inputs'!P33*'Model inputs'!AI125</f>
        <v>18.6767578125</v>
      </c>
      <c r="Q121" s="8">
        <f>'Model inputs'!Q33*'Model inputs'!AI125</f>
        <v>23.345947265625</v>
      </c>
      <c r="R121" s="8">
        <f>'Model inputs'!R33*'Model inputs'!AI125</f>
        <v>29.182434082031254</v>
      </c>
      <c r="S121" s="8">
        <f>'Model inputs'!S33*'Model inputs'!AI125</f>
        <v>36.47804260253906</v>
      </c>
      <c r="T121" s="8">
        <f>'Model inputs'!T33*'Model inputs'!AI125</f>
        <v>45.59755325317383</v>
      </c>
      <c r="U121" s="8">
        <f>'Model inputs'!U33*'Model inputs'!AI125</f>
        <v>56.99694156646729</v>
      </c>
      <c r="V121" s="8">
        <f>'Model inputs'!V33*'Model inputs'!AI125</f>
        <v>71.2461769580841</v>
      </c>
      <c r="W121" s="8">
        <f>'Model inputs'!W33*'Model inputs'!AI125</f>
        <v>89.05772119760513</v>
      </c>
      <c r="X121" s="8">
        <f>'Model inputs'!X33*'Model inputs'!AI125</f>
        <v>89.05772119760513</v>
      </c>
      <c r="Y121" s="8">
        <f>'Model inputs'!Y33*'Model inputs'!AI125</f>
        <v>89.05772119760513</v>
      </c>
      <c r="Z121" s="8">
        <f>'Model inputs'!Z33*'Model inputs'!AI125</f>
        <v>89.05772119760513</v>
      </c>
      <c r="AA121" s="8">
        <f>'Model inputs'!AA33*'Model inputs'!AI125</f>
        <v>89.05772119760513</v>
      </c>
      <c r="AB121" s="8">
        <f>'Model inputs'!AB33*'Model inputs'!AI125</f>
        <v>89.05772119760513</v>
      </c>
      <c r="AC121" s="8">
        <f>'Model inputs'!AC33*'Model inputs'!AI125</f>
        <v>89.05772119760513</v>
      </c>
      <c r="AD121" s="8">
        <f>'Model inputs'!AD33*'Model inputs'!AI125</f>
        <v>89.05772119760513</v>
      </c>
      <c r="AE121" s="8">
        <f>'Model inputs'!AE33*'Model inputs'!AI125</f>
        <v>89.05772119760513</v>
      </c>
      <c r="AF121" s="8">
        <f>'Model inputs'!AF33*'Model inputs'!AI125</f>
        <v>89.05772119760513</v>
      </c>
      <c r="AG121" s="8">
        <f>'Model inputs'!AG33*'Model inputs'!AI125</f>
        <v>89.05772119760513</v>
      </c>
      <c r="AH121" s="8">
        <f>'Model inputs'!AH33*'Model inputs'!AI125</f>
        <v>89.05772119760513</v>
      </c>
    </row>
    <row r="122">
      <c r="A122" t="inlineStr" s="11">
        <is>
          <t xml:space="preserve">Payment processing rate · Cash collected from customers · Main Scenario · Main Scenario</t>
        </is>
      </c>
      <c r="AI122" s="8">
        <f>0.03</f>
        <v>0.03</v>
      </c>
    </row>
    <row r="123">
      <c r="A123" t="inlineStr" s="11">
        <is>
          <t xml:space="preserve">Payment processing rate · Cash collected from customers · Growth · $0.60 · Growth · $0.60</t>
        </is>
      </c>
      <c r="AI123" s="8">
        <f>'Model inputs'!AI122</f>
        <v>0.03</v>
      </c>
    </row>
    <row r="124">
      <c r="A124" t="inlineStr" s="11">
        <is>
          <t xml:space="preserve">Payment processing rate · Cash collected from customers · Base · $0.60 · Base · $0.60</t>
        </is>
      </c>
      <c r="AI124" s="8">
        <f>'Model inputs'!AI122</f>
        <v>0.03</v>
      </c>
    </row>
    <row r="125">
      <c r="A125" t="inlineStr" s="11">
        <is>
          <t xml:space="preserve">Payment processing rate · Cash collected from customers · Growth · $0.34 · Growth · $0.34</t>
        </is>
      </c>
      <c r="AI125" s="8">
        <f>'Model inputs'!AI122</f>
        <v>0.03</v>
      </c>
    </row>
    <row r="126">
      <c r="A126" t="inlineStr" s="11">
        <is>
          <t xml:space="preserve">Verification rate · Verified fixes · Main Scenario · Main Scenario</t>
        </is>
      </c>
      <c r="AI126" s="8">
        <f>0.75</f>
        <v>0.75</v>
      </c>
    </row>
    <row r="127">
      <c r="A127" t="inlineStr" s="11">
        <is>
          <t xml:space="preserve">Verification rate · Verified fixes · Growth · $0.60 · Growth · $0.60</t>
        </is>
      </c>
      <c r="AI127" s="8">
        <f>'Model inputs'!AI126</f>
        <v>0.75</v>
      </c>
    </row>
    <row r="128">
      <c r="A128" t="inlineStr" s="11">
        <is>
          <t xml:space="preserve">Verification rate · Verified fixes · Base · $0.60 · Base · $0.60</t>
        </is>
      </c>
      <c r="AI128" s="8">
        <f>'Model inputs'!AI126</f>
        <v>0.75</v>
      </c>
    </row>
    <row r="129">
      <c r="A129" t="inlineStr" s="11">
        <is>
          <t xml:space="preserve">Verification rate · Verified fixes · Growth · $0.34 · Growth · $0.34</t>
        </is>
      </c>
      <c r="AI129" s="8">
        <f>'Model inputs'!AI126</f>
        <v>0.75</v>
      </c>
    </row>
    <row r="130">
      <c r="A130" t="inlineStr" s="11">
        <is>
          <t xml:space="preserve">Founder salary (comparison) · Founder salary · Main Scenario · Main Scenario</t>
        </is>
      </c>
      <c r="AI130" s="8">
        <f>2000</f>
        <v>2000</v>
      </c>
    </row>
    <row r="131">
      <c r="A131" t="inlineStr" s="11">
        <is>
          <t xml:space="preserve">Founder salary (comparison) · Founder salary · Growth · $0.60 · Growth · $0.60</t>
        </is>
      </c>
      <c r="AI131" s="8">
        <f>'Model inputs'!AI130</f>
        <v>2000</v>
      </c>
    </row>
    <row r="132">
      <c r="A132" t="inlineStr" s="11">
        <is>
          <t xml:space="preserve">Founder salary (comparison) · Founder salary · Base · $0.60 · Base · $0.60</t>
        </is>
      </c>
      <c r="AI132" s="8">
        <f>'Model inputs'!AI130</f>
        <v>2000</v>
      </c>
    </row>
    <row r="133">
      <c r="A133" t="inlineStr" s="11">
        <is>
          <t xml:space="preserve">Founder salary (comparison) · Founder salary · Growth · $0.34 · Growth · $0.34</t>
        </is>
      </c>
      <c r="AI133" s="8">
        <f>'Model inputs'!AI130</f>
        <v>2000</v>
      </c>
    </row>
    <row r="134">
      <c r="A134" t="inlineStr" s="11">
        <is>
          <t xml:space="preserve">Monthly fixed cost</t>
        </is>
      </c>
      <c r="AI134" s="6">
        <v>0</v>
      </c>
    </row>
    <row r="135" outlineLevel="1">
      <c r="A135" t="inlineStr" s="12">
        <is>
          <t xml:space="preserve">Monthly fixed cost &gt; Accounting, legal &amp; misc</t>
        </is>
      </c>
      <c r="AI135" s="8">
        <f>50</f>
        <v>50</v>
      </c>
    </row>
    <row r="136" outlineLevel="1">
      <c r="A136" t="inlineStr" s="12">
        <is>
          <t xml:space="preserve">Monthly fixed cost &gt; Hosting</t>
        </is>
      </c>
      <c r="AI136" s="8">
        <f>40</f>
        <v>40</v>
      </c>
    </row>
    <row r="137" outlineLevel="1">
      <c r="A137" t="inlineStr" s="12">
        <is>
          <t xml:space="preserve">Monthly fixed cost &gt; Observability</t>
        </is>
      </c>
      <c r="AI137" s="8">
        <f>50</f>
        <v>50</v>
      </c>
    </row>
    <row r="138" outlineLevel="1">
      <c r="A138" t="inlineStr" s="12">
        <is>
          <t xml:space="preserve">Monthly fixed cost &gt; Tooling &amp; misc</t>
        </is>
      </c>
      <c r="AI138" s="8">
        <f>30</f>
        <v>30</v>
      </c>
    </row>
    <row r="139">
      <c r="A139" t="inlineStr" s="11">
        <is>
          <t xml:space="preserve">Monthly fixed cost</t>
        </is>
      </c>
      <c r="AI139" s="6">
        <v>0</v>
      </c>
    </row>
    <row r="140" outlineLevel="1">
      <c r="A140" t="inlineStr" s="12">
        <is>
          <t xml:space="preserve">Monthly fixed cost &gt; Accounting, legal &amp; misc</t>
        </is>
      </c>
      <c r="AI140" s="8">
        <f>'Model inputs'!AI135</f>
        <v>50</v>
      </c>
    </row>
    <row r="141" outlineLevel="1">
      <c r="A141" t="inlineStr" s="12">
        <is>
          <t xml:space="preserve">Monthly fixed cost &gt; Hosting</t>
        </is>
      </c>
      <c r="AI141" s="8">
        <f>'Model inputs'!AI136</f>
        <v>40</v>
      </c>
    </row>
    <row r="142" outlineLevel="1">
      <c r="A142" t="inlineStr" s="12">
        <is>
          <t xml:space="preserve">Monthly fixed cost &gt; Observability</t>
        </is>
      </c>
      <c r="AI142" s="8">
        <f>'Model inputs'!AI137</f>
        <v>50</v>
      </c>
    </row>
    <row r="143" outlineLevel="1">
      <c r="A143" t="inlineStr" s="12">
        <is>
          <t xml:space="preserve">Monthly fixed cost &gt; Tooling &amp; misc</t>
        </is>
      </c>
      <c r="AI143" s="8">
        <f>'Model inputs'!AI138</f>
        <v>30</v>
      </c>
    </row>
    <row r="144">
      <c r="A144" t="inlineStr" s="11">
        <is>
          <t xml:space="preserve">Monthly fixed cost</t>
        </is>
      </c>
      <c r="AI144" s="6">
        <v>0</v>
      </c>
    </row>
    <row r="145" outlineLevel="1">
      <c r="A145" t="inlineStr" s="12">
        <is>
          <t xml:space="preserve">Monthly fixed cost &gt; Accounting, legal &amp; misc</t>
        </is>
      </c>
      <c r="AI145" s="8">
        <f>'Model inputs'!AI135</f>
        <v>50</v>
      </c>
    </row>
    <row r="146" outlineLevel="1">
      <c r="A146" t="inlineStr" s="12">
        <is>
          <t xml:space="preserve">Monthly fixed cost &gt; Hosting</t>
        </is>
      </c>
      <c r="AI146" s="8">
        <f>'Model inputs'!AI136</f>
        <v>40</v>
      </c>
    </row>
    <row r="147" outlineLevel="1">
      <c r="A147" t="inlineStr" s="12">
        <is>
          <t xml:space="preserve">Monthly fixed cost &gt; Observability</t>
        </is>
      </c>
      <c r="AI147" s="8">
        <f>'Model inputs'!AI137</f>
        <v>50</v>
      </c>
    </row>
    <row r="148" outlineLevel="1">
      <c r="A148" t="inlineStr" s="12">
        <is>
          <t xml:space="preserve">Monthly fixed cost &gt; Tooling &amp; misc</t>
        </is>
      </c>
      <c r="AI148" s="8">
        <f>'Model inputs'!AI138</f>
        <v>30</v>
      </c>
    </row>
    <row r="149">
      <c r="A149" t="inlineStr" s="11">
        <is>
          <t xml:space="preserve">Monthly fixed cost</t>
        </is>
      </c>
      <c r="AI149" s="6">
        <v>0</v>
      </c>
    </row>
    <row r="150" outlineLevel="1">
      <c r="A150" t="inlineStr" s="12">
        <is>
          <t xml:space="preserve">Monthly fixed cost &gt; Accounting, legal &amp; misc</t>
        </is>
      </c>
      <c r="AI150" s="8">
        <f>'Model inputs'!AI135</f>
        <v>50</v>
      </c>
    </row>
    <row r="151" outlineLevel="1">
      <c r="A151" t="inlineStr" s="12">
        <is>
          <t xml:space="preserve">Monthly fixed cost &gt; Hosting</t>
        </is>
      </c>
      <c r="AI151" s="8">
        <f>'Model inputs'!AI136</f>
        <v>40</v>
      </c>
    </row>
    <row r="152" outlineLevel="1">
      <c r="A152" t="inlineStr" s="12">
        <is>
          <t xml:space="preserve">Monthly fixed cost &gt; Observability</t>
        </is>
      </c>
      <c r="AI152" s="8">
        <f>'Model inputs'!AI137</f>
        <v>50</v>
      </c>
    </row>
    <row r="153" outlineLevel="1">
      <c r="A153" t="inlineStr" s="12">
        <is>
          <t xml:space="preserve">Monthly fixed cost &gt; Tooling &amp; misc</t>
        </is>
      </c>
      <c r="AI153" s="8">
        <f>'Model inputs'!AI138</f>
        <v>30</v>
      </c>
    </row>
    <row r="155">
      <c r="A155" t="inlineStr" s="9">
        <is>
          <t xml:space="preserve">Dimensions</t>
        </is>
      </c>
    </row>
    <row r="156">
      <c r="A156" t="inlineStr" s="11">
        <is>
          <t xml:space="preserve">Cost line</t>
        </is>
      </c>
      <c r="B156" t="inlineStr" s="14">
        <is>
          <t xml:space="preserve">Accounting, legal &amp; misc</t>
        </is>
      </c>
      <c r="C156" t="inlineStr" s="14">
        <is>
          <t xml:space="preserve">Hosting</t>
        </is>
      </c>
      <c r="D156" t="inlineStr" s="14">
        <is>
          <t xml:space="preserve">Observability</t>
        </is>
      </c>
      <c r="E156" t="inlineStr" s="14">
        <is>
          <t xml:space="preserve">Tooling &amp; misc</t>
        </is>
      </c>
    </row>
  </sheetData>
  <mergeCells count="2">
    <mergeCell ref="A1:AI1"/>
    <mergeCell ref="A2:AI2"/>
  </mergeCells>
</worksheet>
</file>