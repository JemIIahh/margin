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></Relationship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Price point test" sheetId="1" r:id="rId1"/>
    <sheet name="Model inputs" sheetId="2" r:id="rId2"/>
  </sheets>
  <calcPr calcMode="auto" fullCalcOnLoad="1" forceFullCalc="1"/>
</workbook>
</file>

<file path=xl/styles.xml><?xml version="1.0" encoding="utf-8"?>
<styleSheet xmlns="http://schemas.openxmlformats.org/spreadsheetml/2006/main">
  <numFmts count="7">
    <numFmt numFmtId="164" formatCode="&quot;$&quot;#,##0.00;(&quot;$&quot;#,##0.00)"/>
    <numFmt numFmtId="165" formatCode="0%"/>
    <numFmt numFmtId="166" formatCode="&quot;$&quot;#,##0.000;(&quot;$&quot;#,##0.000)"/>
    <numFmt numFmtId="167" formatCode="0.0%"/>
    <numFmt numFmtId="168" formatCode="#,##0;(#,##0)"/>
    <numFmt numFmtId="169" formatCode="&quot;$&quot;#,##0;(&quot;$&quot;#,##0)"/>
    <numFmt numFmtId="170" formatCode="#,##0.###;(#,##0.###)"/>
  </numFmts>
  <fonts count="5">
    <font>
      <sz val="10"/>
      <color rgb="FF352F29"/>
      <name val="Aptos"/>
    </font>
    <font>
      <b/>
      <sz val="16"/>
      <color rgb="FFFFFFFF"/>
      <name val="Aptos"/>
    </font>
    <font>
      <sz val="9"/>
      <color rgb="FF817B73"/>
      <name val="Aptos"/>
    </font>
    <font>
      <b/>
      <sz val="10"/>
      <color rgb="FF352F29"/>
      <name val="Aptos"/>
    </font>
    <font>
      <sz val="10"/>
      <color rgb="FF817B73"/>
      <name val="Aptos"/>
    </font>
  </fonts>
  <fills count="6">
    <fill>
      <patternFill patternType="none"/>
    </fill>
    <fill>
      <patternFill patternType="gray125"/>
    </fill>
    <fill>
      <patternFill patternType="solid">
        <fgColor rgb="FF352F29"/>
        <bgColor indexed="64"/>
      </patternFill>
    </fill>
    <fill>
      <patternFill patternType="solid">
        <fgColor rgb="FFF0EDE8"/>
        <bgColor indexed="64"/>
      </patternFill>
    </fill>
    <fill>
      <patternFill patternType="solid">
        <fgColor rgb="FFF5F2EC"/>
        <bgColor indexed="64"/>
      </patternFill>
    </fill>
    <fill>
      <patternFill patternType="solid">
        <fgColor rgb="FFF7F9FC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E7E3DD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ill="1" applyFont="1" applyAlignment="1">
      <alignment vertical="center" horizontal="left" indent="1"/>
    </xf>
    <xf numFmtId="0" fontId="2" fillId="0" borderId="0" xfId="0" applyFont="1"/>
    <xf numFmtId="0" fontId="3" fillId="3" borderId="1" xfId="0" applyFill="1" applyFont="1" applyBorder="1" applyAlignment="1">
      <alignment vertical="center" horizontal="left"/>
    </xf>
    <xf numFmtId="0" fontId="3" fillId="3" borderId="1" xfId="0" applyFill="1" applyFont="1" applyBorder="1" applyAlignment="1">
      <alignment vertical="center" horizontal="right"/>
    </xf>
    <xf numFmtId="0" fontId="3" fillId="4" borderId="1" xfId="0" applyFill="1" applyFont="1" applyBorder="1" applyAlignment="1">
      <alignment vertical="center" horizontal="left"/>
    </xf>
    <xf numFmtId="164" fontId="3" fillId="4" borderId="1" xfId="0" applyNumberFormat="1" applyFill="1" applyFont="1" applyBorder="1" applyAlignment="1">
      <alignment vertical="center" horizontal="right"/>
    </xf>
    <xf numFmtId="165" fontId="3" fillId="4" borderId="1" xfId="0" applyNumberFormat="1" applyFill="1" applyFont="1" applyBorder="1" applyAlignment="1">
      <alignment vertical="center" horizontal="right"/>
    </xf>
    <xf numFmtId="166" fontId="3" fillId="4" borderId="1" xfId="0" applyNumberFormat="1" applyFill="1" applyFont="1" applyBorder="1" applyAlignment="1">
      <alignment vertical="center" horizontal="right"/>
    </xf>
    <xf numFmtId="167" fontId="3" fillId="4" borderId="1" xfId="0" applyNumberFormat="1" applyFill="1" applyFont="1" applyBorder="1" applyAlignment="1">
      <alignment vertical="center" horizontal="right"/>
    </xf>
    <xf numFmtId="168" fontId="3" fillId="4" borderId="1" xfId="0" applyNumberFormat="1" applyFill="1" applyFont="1" applyBorder="1" applyAlignment="1">
      <alignment vertical="center" horizontal="right"/>
    </xf>
    <xf numFmtId="169" fontId="3" fillId="4" borderId="1" xfId="0" applyNumberFormat="1" applyFill="1" applyFont="1" applyBorder="1" applyAlignment="1">
      <alignment vertical="center" horizontal="right"/>
    </xf>
    <xf numFmtId="0" fontId="3" fillId="4" borderId="1" xfId="0" applyFill="1" applyFont="1" applyBorder="1"/>
    <xf numFmtId="0" fontId="3" fillId="5" borderId="0" xfId="0" applyFill="1" applyFont="1" applyAlignment="1">
      <alignment vertical="center" horizontal="left"/>
    </xf>
    <xf numFmtId="170" fontId="0" fillId="0" borderId="0" xfId="0" applyNumberFormat="1" applyAlignment="1">
      <alignment vertical="center" horizontal="right"/>
    </xf>
    <xf numFmtId="170" fontId="3" fillId="4" borderId="1" xfId="0" applyNumberFormat="1" applyFill="1" applyFont="1" applyBorder="1" applyAlignment="1">
      <alignment vertical="center" horizontal="right"/>
    </xf>
    <xf numFmtId="0" fontId="0" fillId="5" borderId="0" xfId="0" applyFill="1" applyAlignment="1">
      <alignment vertical="center" horizontal="left" indent="1"/>
    </xf>
    <xf numFmtId="0" fontId="4" fillId="0" borderId="0" xfId="0" applyFont="1" applyAlignment="1">
      <alignment vertical="center" horizontal="left"/>
    </xf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worksheet" Target="worksheets/sheet2.xml"></Relationship><Relationship Id="rId3" Type="http://schemas.openxmlformats.org/officeDocument/2006/relationships/styles" Target="styles.xml"></Relationship></Relationships>
</file>

<file path=xl/worksheets/sheet1.xml><?xml version="1.0" encoding="utf-8"?>
<worksheet xmlns="http://schemas.openxmlformats.org/spreadsheetml/2006/main">
  <dimension ref="A1:N6"/>
  <sheetViews>
    <sheetView showGridLines="0" workbookViewId="0">
      <pane xSplit="1" ySplit="4" topLeftCell="B5" activePane="bottomRight" state="frozen"/>
      <selection pane="bottomRight" activeCell="B5" sqref="B5"/>
    </sheetView>
  </sheetViews>
  <sheetFormatPr defaultRowHeight="18"/>
  <cols>
    <col min="1" max="1" width="40" customWidth="1"/>
    <col min="2" max="2" width="19" customWidth="1"/>
    <col min="3" max="3" width="19" customWidth="1"/>
    <col min="4" max="4" width="19" customWidth="1"/>
    <col min="5" max="5" width="19" customWidth="1"/>
    <col min="6" max="6" width="19" customWidth="1"/>
    <col min="7" max="7" width="19" customWidth="1"/>
    <col min="8" max="8" width="19" customWidth="1"/>
    <col min="9" max="9" width="19" customWidth="1"/>
    <col min="10" max="10" width="19" customWidth="1"/>
    <col min="11" max="11" width="19" customWidth="1"/>
    <col min="12" max="12" width="19" customWidth="1"/>
    <col min="13" max="13" width="19" customWidth="1"/>
    <col min="14" max="14" width="19" customWidth="1"/>
  </cols>
  <sheetData>
    <row r="1" ht="32" customHeight="1">
      <c r="A1" t="inlineStr" s="1">
        <is>
          <t xml:space="preserve">Price point test</t>
        </is>
      </c>
    </row>
    <row r="2" ht="20" customHeight="1">
      <c r="A2" t="inlineStr" s="2">
        <is>
          <t xml:space="preserve">Pricing · Main Scenario</t>
        </is>
      </c>
    </row>
    <row r="4" ht="22" customHeight="1">
      <c r="A4" t="inlineStr" s="3">
        <is>
          <t xml:space="preserve">Variable / dimension</t>
        </is>
      </c>
      <c r="B4" t="inlineStr" s="4">
        <is>
          <t xml:space="preserve">Test price per fix</t>
        </is>
      </c>
      <c r="C4" t="inlineStr" s="4">
        <is>
          <t xml:space="preserve">Test volume vs $0.34</t>
        </is>
      </c>
      <c r="D4" t="inlineStr" s="4">
        <is>
          <t xml:space="preserve">Quote band floor</t>
        </is>
      </c>
      <c r="E4" t="inlineStr" s="4">
        <is>
          <t xml:space="preserve">Quote band cap</t>
        </is>
      </c>
      <c r="F4" t="inlineStr" s="4">
        <is>
          <t xml:space="preserve">Cost per fix incl. processing</t>
        </is>
      </c>
      <c r="G4" t="inlineStr" s="4">
        <is>
          <t xml:space="preserve">Gross profit per fix</t>
        </is>
      </c>
      <c r="H4" t="inlineStr" s="4">
        <is>
          <t xml:space="preserve">Margin before processing</t>
        </is>
      </c>
      <c r="I4" t="inlineStr" s="4">
        <is>
          <t xml:space="preserve">Gross margin after processing</t>
        </is>
      </c>
      <c r="J4" t="inlineStr" s="4">
        <is>
          <t xml:space="preserve">Floor cushion vs hard job</t>
        </is>
      </c>
      <c r="K4" t="inlineStr" s="4">
        <is>
          <t xml:space="preserve">Profit per job attempted</t>
        </is>
      </c>
      <c r="L4" t="inlineStr" s="4">
        <is>
          <t xml:space="preserve">Break-even jobs / month</t>
        </is>
      </c>
      <c r="M4" t="inlineStr" s="4">
        <is>
          <t xml:space="preserve">Break-even jobs with salary</t>
        </is>
      </c>
      <c r="N4" t="inlineStr" s="4">
        <is>
          <t xml:space="preserve">Monthly profit at base volume</t>
        </is>
      </c>
    </row>
    <row r="5">
      <c r="A5" t="inlineStr" s="5">
        <is>
          <t xml:space="preserve">$0.34 standard</t>
        </is>
      </c>
      <c r="B5" s="6">
        <f>0.34</f>
        <v>0.34</v>
      </c>
      <c r="C5" s="7">
        <f>1</f>
        <v>1</v>
      </c>
      <c r="D5" s="6">
        <f>0.18</f>
        <v>0.18</v>
      </c>
      <c r="E5" s="6">
        <f>0.67</f>
        <v>0.67</v>
      </c>
      <c r="F5" s="8">
        <f>'Model inputs'!B6+'Price point test'!B5*'Model inputs'!B15</f>
        <v>0.1402</v>
      </c>
      <c r="G5" s="8">
        <f>'Price point test'!B5-'Price point test'!F5</f>
        <v>0.19980000000000003</v>
      </c>
      <c r="H5" s="9">
        <f>IFERROR(('Price point test'!B5-'Model inputs'!B6)/'Price point test'!B5,"")</f>
        <v>0.6176470588235294</v>
      </c>
      <c r="I5" s="9">
        <f>IFERROR('Price point test'!G5/'Price point test'!B5,"")</f>
        <v>0.5876470588235295</v>
      </c>
      <c r="J5" s="8">
        <f>'Price point test'!D5-'Model inputs'!B14/'Model inputs'!B16</f>
        <v>-0.006666666666666682</v>
      </c>
      <c r="K5" s="8">
        <f>'Price point test'!G5*'Model inputs'!B16</f>
        <v>0.14985000000000004</v>
      </c>
      <c r="L5" s="10">
        <f>IFERROR(SUM('Model inputs'!B10,'Model inputs'!B11,'Model inputs'!B12,'Model inputs'!B13)/'Price point test'!K5,"")</f>
        <v>1134.4678011344674</v>
      </c>
      <c r="M5" s="10">
        <f>IFERROR((SUM('Model inputs'!B10,'Model inputs'!B11,'Model inputs'!B12,'Model inputs'!B13)+'Model inputs'!B7)/'Price point test'!K5,"")</f>
        <v>14481.147814481144</v>
      </c>
      <c r="N5" s="11">
        <f>'Model inputs'!B8*'Price point test'!C5*'Price point test'!K5-SUM('Model inputs'!B10,'Model inputs'!B11,'Model inputs'!B12,'Model inputs'!B13)</f>
        <v>-20.14999999999995</v>
      </c>
    </row>
    <row r="6">
      <c r="A6" t="inlineStr" s="5">
        <is>
          <t xml:space="preserve">$0.60 premium</t>
        </is>
      </c>
      <c r="B6" s="6">
        <f>0.6</f>
        <v>0.6</v>
      </c>
      <c r="C6" s="7">
        <f>0.85</f>
        <v>0.85</v>
      </c>
      <c r="D6" s="6">
        <f>0.32</f>
        <v>0.32</v>
      </c>
      <c r="E6" s="6">
        <f>1.18</f>
        <v>1.18</v>
      </c>
      <c r="F6" s="8">
        <f>'Model inputs'!B6+'Price point test'!B6*'Model inputs'!B15</f>
        <v>0.148</v>
      </c>
      <c r="G6" s="8">
        <f>'Price point test'!B6-'Price point test'!F6</f>
        <v>0.45199999999999996</v>
      </c>
      <c r="H6" s="9">
        <f>IFERROR(('Price point test'!B6-'Model inputs'!B6)/'Price point test'!B6,"")</f>
        <v>0.7833333333333333</v>
      </c>
      <c r="I6" s="9">
        <f>IFERROR('Price point test'!G6/'Price point test'!B6,"")</f>
        <v>0.7533333333333333</v>
      </c>
      <c r="J6" s="8">
        <f>'Price point test'!D6-'Model inputs'!B14/'Model inputs'!B16</f>
        <v>0.13333333333333333</v>
      </c>
      <c r="K6" s="8">
        <f>'Price point test'!G6*'Model inputs'!B16</f>
        <v>0.33899999999999997</v>
      </c>
      <c r="L6" s="10">
        <f>IFERROR(SUM('Model inputs'!B10,'Model inputs'!B11,'Model inputs'!B12,'Model inputs'!B13)/'Price point test'!K6,"")</f>
        <v>501.4749262536874</v>
      </c>
      <c r="M6" s="10">
        <f>IFERROR((SUM('Model inputs'!B10,'Model inputs'!B11,'Model inputs'!B12,'Model inputs'!B13)+'Model inputs'!B7)/'Price point test'!K6,"")</f>
        <v>6401.179941002951</v>
      </c>
      <c r="N6" s="11">
        <f>'Model inputs'!B8*'Price point test'!C6*'Price point test'!K6-SUM('Model inputs'!B10,'Model inputs'!B11,'Model inputs'!B12,'Model inputs'!B13)</f>
        <v>118.14999999999998</v>
      </c>
    </row>
  </sheetData>
  <mergeCells count="1">
    <mergeCell ref="A1:N1"/>
  </mergeCells>
</worksheet>
</file>

<file path=xl/worksheets/sheet2.xml><?xml version="1.0" encoding="utf-8"?>
<worksheet xmlns="http://schemas.openxmlformats.org/spreadsheetml/2006/main">
  <dimension ref="A1:E19"/>
  <sheetViews>
    <sheetView showGridLines="0" workbookViewId="0">
      <pane xSplit="1" ySplit="5" topLeftCell="B6" activePane="bottomRight" state="frozen"/>
      <selection pane="bottomRight" activeCell="B6" sqref="B6"/>
    </sheetView>
  </sheetViews>
  <sheetFormatPr defaultRowHeight="18"/>
  <cols>
    <col min="1" max="1" width="42" customWidth="1"/>
    <col min="2" max="2" width="19" customWidth="1"/>
  </cols>
  <sheetData>
    <row r="1" ht="32" customHeight="1">
      <c r="A1" t="inlineStr" s="1">
        <is>
          <t xml:space="preserve">Model inputs</t>
        </is>
      </c>
    </row>
    <row r="2" ht="20" customHeight="1">
      <c r="A2" t="inlineStr" s="2">
        <is>
          <t xml:space="preserve">Integration values are aggregated snapshots; raw source records are not included.</t>
        </is>
      </c>
    </row>
    <row r="4">
      <c r="A4" t="inlineStr" s="12">
        <is>
          <t xml:space="preserve">Variables</t>
        </is>
      </c>
    </row>
    <row r="5" ht="22" customHeight="1">
      <c r="A5" t="inlineStr" s="3">
        <is>
          <t xml:space="preserve">Variable / segment</t>
        </is>
      </c>
      <c r="B5" t="inlineStr" s="4">
        <is>
          <t xml:space="preserve">Value</t>
        </is>
      </c>
    </row>
    <row r="6">
      <c r="A6" t="inlineStr" s="13">
        <is>
          <t xml:space="preserve">All-in cost per verified fix</t>
        </is>
      </c>
      <c r="B6" s="14">
        <f>0.13</f>
        <v>0.13</v>
      </c>
    </row>
    <row r="7">
      <c r="A7" t="inlineStr" s="13">
        <is>
          <t xml:space="preserve">Founder salary (comparison)</t>
        </is>
      </c>
      <c r="B7" s="14">
        <f>2000</f>
        <v>2000</v>
      </c>
    </row>
    <row r="8">
      <c r="A8" t="inlineStr" s="13">
        <is>
          <t xml:space="preserve">Launch month jobs</t>
        </is>
      </c>
      <c r="B8" s="14">
        <f>1000</f>
        <v>1000</v>
      </c>
    </row>
    <row r="9">
      <c r="A9" t="inlineStr" s="13">
        <is>
          <t xml:space="preserve">Monthly fixed cost</t>
        </is>
      </c>
      <c r="B9" s="15">
        <v>0</v>
      </c>
    </row>
    <row r="10" outlineLevel="1">
      <c r="A10" t="inlineStr" s="16">
        <is>
          <t xml:space="preserve">Monthly fixed cost &gt; Accounting, legal &amp; misc</t>
        </is>
      </c>
      <c r="B10" s="14">
        <f>50</f>
        <v>50</v>
      </c>
    </row>
    <row r="11" outlineLevel="1">
      <c r="A11" t="inlineStr" s="16">
        <is>
          <t xml:space="preserve">Monthly fixed cost &gt; Hosting</t>
        </is>
      </c>
      <c r="B11" s="14">
        <f>40</f>
        <v>40</v>
      </c>
    </row>
    <row r="12" outlineLevel="1">
      <c r="A12" t="inlineStr" s="16">
        <is>
          <t xml:space="preserve">Monthly fixed cost &gt; Observability</t>
        </is>
      </c>
      <c r="B12" s="14">
        <f>50</f>
        <v>50</v>
      </c>
    </row>
    <row r="13" outlineLevel="1">
      <c r="A13" t="inlineStr" s="16">
        <is>
          <t xml:space="preserve">Monthly fixed cost &gt; Tooling &amp; misc</t>
        </is>
      </c>
      <c r="B13" s="14">
        <f>30</f>
        <v>30</v>
      </c>
    </row>
    <row r="14">
      <c r="A14" t="inlineStr" s="13">
        <is>
          <t xml:space="preserve">P90 cost per job</t>
        </is>
      </c>
      <c r="B14" s="14">
        <f>0.14</f>
        <v>0.14</v>
      </c>
    </row>
    <row r="15">
      <c r="A15" t="inlineStr" s="13">
        <is>
          <t xml:space="preserve">Payment processing rate</t>
        </is>
      </c>
      <c r="B15" s="14">
        <f>0.03</f>
        <v>0.03</v>
      </c>
    </row>
    <row r="16">
      <c r="A16" t="inlineStr" s="13">
        <is>
          <t xml:space="preserve">Verification rate</t>
        </is>
      </c>
      <c r="B16" s="14">
        <f>0.75</f>
        <v>0.75</v>
      </c>
    </row>
    <row r="18">
      <c r="A18" t="inlineStr" s="12">
        <is>
          <t xml:space="preserve">Dimensions</t>
        </is>
      </c>
    </row>
    <row r="19">
      <c r="A19" t="inlineStr" s="13">
        <is>
          <t xml:space="preserve">Cost line</t>
        </is>
      </c>
      <c r="B19" t="inlineStr" s="17">
        <is>
          <t xml:space="preserve">Accounting, legal &amp; misc</t>
        </is>
      </c>
      <c r="C19" t="inlineStr" s="17">
        <is>
          <t xml:space="preserve">Hosting</t>
        </is>
      </c>
      <c r="D19" t="inlineStr" s="17">
        <is>
          <t xml:space="preserve">Observability</t>
        </is>
      </c>
      <c r="E19" t="inlineStr" s="17">
        <is>
          <t xml:space="preserve">Tooling &amp; misc</t>
        </is>
      </c>
    </row>
  </sheetData>
  <mergeCells count="2">
    <mergeCell ref="A1:B1"/>
    <mergeCell ref="A2:B2"/>
  </mergeCells>
</worksheet>
</file>