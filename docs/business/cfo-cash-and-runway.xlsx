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sh &amp; runway" sheetId="1" r:id="rId1"/>
    <sheet name="Cash with $2,000 founder salary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###;(#,##0.###)"/>
    <numFmt numFmtId="165" formatCode="&quot;$&quot;#,##0;(&quot;$&quot;#,##0)"/>
    <numFmt numFmtId="166" formatCode="#,##0.0;(#,##0.0)"/>
    <numFmt numFmtId="167" formatCode="yyyy-mm-dd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0" borderId="0" xfId="0" applyFont="1" applyAlignment="1">
      <alignment vertical="center" horizontal="left"/>
    </xf>
    <xf numFmtId="165" fontId="3" fillId="0" borderId="0" xfId="0" applyNumberFormat="1" applyFon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7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Cash &amp; runway</t>
        </is>
      </c>
    </row>
    <row r="2" ht="20" customHeight="1">
      <c r="A2" t="inlineStr" s="2">
        <is>
          <t xml:space="preserve">Cash &amp; 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Gross profit</t>
        </is>
      </c>
      <c r="B5" s="7">
        <f>'Model inputs'!D22-'Model inputs'!D10</f>
        <v>0</v>
      </c>
      <c r="C5" s="7">
        <f>'Model inputs'!E22-'Model inputs'!E10</f>
        <v>149.85000000000002</v>
      </c>
      <c r="D5" s="7">
        <f>'Model inputs'!F22-'Model inputs'!F10</f>
        <v>149.85000000000002</v>
      </c>
      <c r="E5" s="7">
        <f>'Model inputs'!G22-'Model inputs'!G10</f>
        <v>149.85000000000002</v>
      </c>
      <c r="F5" s="7">
        <f>'Model inputs'!H22-'Model inputs'!H10</f>
        <v>149.85000000000002</v>
      </c>
      <c r="G5" s="7">
        <f>'Model inputs'!I22-'Model inputs'!I10</f>
        <v>149.85000000000002</v>
      </c>
      <c r="H5" s="7">
        <f>'Model inputs'!J22-'Model inputs'!J10</f>
        <v>149.85000000000002</v>
      </c>
      <c r="I5" s="7">
        <f>'Model inputs'!K22-'Model inputs'!K10</f>
        <v>149.85000000000002</v>
      </c>
      <c r="J5" s="7">
        <f>'Model inputs'!L22-'Model inputs'!L10</f>
        <v>149.85000000000002</v>
      </c>
      <c r="K5" s="7">
        <f>'Model inputs'!M22-'Model inputs'!M10</f>
        <v>149.85000000000002</v>
      </c>
      <c r="L5" s="7">
        <f>'Model inputs'!N22-'Model inputs'!N10</f>
        <v>149.85000000000002</v>
      </c>
      <c r="M5" s="7">
        <f>'Model inputs'!O22-'Model inputs'!O10</f>
        <v>149.85000000000002</v>
      </c>
      <c r="N5" s="7">
        <f>'Model inputs'!P22-'Model inputs'!P10</f>
        <v>149.85000000000002</v>
      </c>
      <c r="O5" s="7">
        <f>'Model inputs'!Q22-'Model inputs'!Q10</f>
        <v>149.85000000000002</v>
      </c>
      <c r="P5" s="7">
        <f>'Model inputs'!R22-'Model inputs'!R10</f>
        <v>149.85000000000002</v>
      </c>
      <c r="Q5" s="7">
        <f>'Model inputs'!S22-'Model inputs'!S10</f>
        <v>149.85000000000002</v>
      </c>
      <c r="R5" s="7">
        <f>'Model inputs'!T22-'Model inputs'!T10</f>
        <v>149.85000000000002</v>
      </c>
      <c r="S5" s="7">
        <f>'Model inputs'!U22-'Model inputs'!U10</f>
        <v>149.85000000000002</v>
      </c>
      <c r="T5" s="7">
        <f>'Model inputs'!V22-'Model inputs'!V10</f>
        <v>149.85000000000002</v>
      </c>
      <c r="U5" s="7">
        <f>'Model inputs'!W22-'Model inputs'!W10</f>
        <v>149.85000000000002</v>
      </c>
      <c r="V5" s="7">
        <f>'Model inputs'!X22-'Model inputs'!X10</f>
        <v>149.85000000000002</v>
      </c>
      <c r="W5" s="7">
        <f>'Model inputs'!Y22-'Model inputs'!Y10</f>
        <v>149.85000000000002</v>
      </c>
      <c r="X5" s="7">
        <f>'Model inputs'!Z22-'Model inputs'!Z10</f>
        <v>149.85000000000002</v>
      </c>
      <c r="Y5" s="7">
        <f>'Model inputs'!AA22-'Model inputs'!AA10</f>
        <v>149.85000000000002</v>
      </c>
    </row>
    <row r="6">
      <c r="A6" t="inlineStr" s="8">
        <is>
          <t xml:space="preserve">Fixed costs</t>
        </is>
      </c>
      <c r="B6" s="9">
        <f>SUM('Model inputs'!D12,'Model inputs'!D13,'Model inputs'!D14,'Model inputs'!D15)</f>
        <v>170</v>
      </c>
      <c r="C6" s="9">
        <f>SUM('Model inputs'!E12,'Model inputs'!E13,'Model inputs'!E14,'Model inputs'!E15)</f>
        <v>170</v>
      </c>
      <c r="D6" s="9">
        <f>SUM('Model inputs'!F12,'Model inputs'!F13,'Model inputs'!F14,'Model inputs'!F15)</f>
        <v>170</v>
      </c>
      <c r="E6" s="9">
        <f>SUM('Model inputs'!G12,'Model inputs'!G13,'Model inputs'!G14,'Model inputs'!G15)</f>
        <v>170</v>
      </c>
      <c r="F6" s="9">
        <f>SUM('Model inputs'!H12,'Model inputs'!H13,'Model inputs'!H14,'Model inputs'!H15)</f>
        <v>170</v>
      </c>
      <c r="G6" s="9">
        <f>SUM('Model inputs'!I12,'Model inputs'!I13,'Model inputs'!I14,'Model inputs'!I15)</f>
        <v>170</v>
      </c>
      <c r="H6" s="9">
        <f>SUM('Model inputs'!J12,'Model inputs'!J13,'Model inputs'!J14,'Model inputs'!J15)</f>
        <v>170</v>
      </c>
      <c r="I6" s="9">
        <f>SUM('Model inputs'!K12,'Model inputs'!K13,'Model inputs'!K14,'Model inputs'!K15)</f>
        <v>170</v>
      </c>
      <c r="J6" s="9">
        <f>SUM('Model inputs'!L12,'Model inputs'!L13,'Model inputs'!L14,'Model inputs'!L15)</f>
        <v>170</v>
      </c>
      <c r="K6" s="9">
        <f>SUM('Model inputs'!M12,'Model inputs'!M13,'Model inputs'!M14,'Model inputs'!M15)</f>
        <v>170</v>
      </c>
      <c r="L6" s="9">
        <f>SUM('Model inputs'!N12,'Model inputs'!N13,'Model inputs'!N14,'Model inputs'!N15)</f>
        <v>170</v>
      </c>
      <c r="M6" s="9">
        <f>SUM('Model inputs'!O12,'Model inputs'!O13,'Model inputs'!O14,'Model inputs'!O15)</f>
        <v>170</v>
      </c>
      <c r="N6" s="9">
        <f>SUM('Model inputs'!P12,'Model inputs'!P13,'Model inputs'!P14,'Model inputs'!P15)</f>
        <v>170</v>
      </c>
      <c r="O6" s="9">
        <f>SUM('Model inputs'!Q12,'Model inputs'!Q13,'Model inputs'!Q14,'Model inputs'!Q15)</f>
        <v>170</v>
      </c>
      <c r="P6" s="9">
        <f>SUM('Model inputs'!R12,'Model inputs'!R13,'Model inputs'!R14,'Model inputs'!R15)</f>
        <v>170</v>
      </c>
      <c r="Q6" s="9">
        <f>SUM('Model inputs'!S12,'Model inputs'!S13,'Model inputs'!S14,'Model inputs'!S15)</f>
        <v>170</v>
      </c>
      <c r="R6" s="9">
        <f>SUM('Model inputs'!T12,'Model inputs'!T13,'Model inputs'!T14,'Model inputs'!T15)</f>
        <v>170</v>
      </c>
      <c r="S6" s="9">
        <f>SUM('Model inputs'!U12,'Model inputs'!U13,'Model inputs'!U14,'Model inputs'!U15)</f>
        <v>170</v>
      </c>
      <c r="T6" s="9">
        <f>SUM('Model inputs'!V12,'Model inputs'!V13,'Model inputs'!V14,'Model inputs'!V15)</f>
        <v>170</v>
      </c>
      <c r="U6" s="9">
        <f>SUM('Model inputs'!W12,'Model inputs'!W13,'Model inputs'!W14,'Model inputs'!W15)</f>
        <v>170</v>
      </c>
      <c r="V6" s="9">
        <f>SUM('Model inputs'!X12,'Model inputs'!X13,'Model inputs'!X14,'Model inputs'!X15)</f>
        <v>170</v>
      </c>
      <c r="W6" s="9">
        <f>SUM('Model inputs'!Y12,'Model inputs'!Y13,'Model inputs'!Y14,'Model inputs'!Y15)</f>
        <v>170</v>
      </c>
      <c r="X6" s="9">
        <f>SUM('Model inputs'!Z12,'Model inputs'!Z13,'Model inputs'!Z14,'Model inputs'!Z15)</f>
        <v>170</v>
      </c>
      <c r="Y6" s="9">
        <f>SUM('Model inputs'!AA12,'Model inputs'!AA13,'Model inputs'!AA14,'Model inputs'!AA15)</f>
        <v>170</v>
      </c>
    </row>
    <row r="7">
      <c r="A7" t="inlineStr" s="10">
        <is>
          <t xml:space="preserve">Operating profit</t>
        </is>
      </c>
      <c r="B7" s="11">
        <f>'Cash &amp; runway'!B5-'Cash &amp; runway'!B6</f>
        <v>-170</v>
      </c>
      <c r="C7" s="11">
        <f>'Cash &amp; runway'!C5-'Cash &amp; runway'!C6</f>
        <v>-20.149999999999977</v>
      </c>
      <c r="D7" s="11">
        <f>'Cash &amp; runway'!D5-'Cash &amp; runway'!D6</f>
        <v>-20.149999999999977</v>
      </c>
      <c r="E7" s="11">
        <f>'Cash &amp; runway'!E5-'Cash &amp; runway'!E6</f>
        <v>-20.149999999999977</v>
      </c>
      <c r="F7" s="11">
        <f>'Cash &amp; runway'!F5-'Cash &amp; runway'!F6</f>
        <v>-20.149999999999977</v>
      </c>
      <c r="G7" s="11">
        <f>'Cash &amp; runway'!G5-'Cash &amp; runway'!G6</f>
        <v>-20.149999999999977</v>
      </c>
      <c r="H7" s="11">
        <f>'Cash &amp; runway'!H5-'Cash &amp; runway'!H6</f>
        <v>-20.149999999999977</v>
      </c>
      <c r="I7" s="11">
        <f>'Cash &amp; runway'!I5-'Cash &amp; runway'!I6</f>
        <v>-20.149999999999977</v>
      </c>
      <c r="J7" s="11">
        <f>'Cash &amp; runway'!J5-'Cash &amp; runway'!J6</f>
        <v>-20.149999999999977</v>
      </c>
      <c r="K7" s="11">
        <f>'Cash &amp; runway'!K5-'Cash &amp; runway'!K6</f>
        <v>-20.149999999999977</v>
      </c>
      <c r="L7" s="11">
        <f>'Cash &amp; runway'!L5-'Cash &amp; runway'!L6</f>
        <v>-20.149999999999977</v>
      </c>
      <c r="M7" s="11">
        <f>'Cash &amp; runway'!M5-'Cash &amp; runway'!M6</f>
        <v>-20.149999999999977</v>
      </c>
      <c r="N7" s="11">
        <f>'Cash &amp; runway'!N5-'Cash &amp; runway'!N6</f>
        <v>-20.149999999999977</v>
      </c>
      <c r="O7" s="11">
        <f>'Cash &amp; runway'!O5-'Cash &amp; runway'!O6</f>
        <v>-20.149999999999977</v>
      </c>
      <c r="P7" s="11">
        <f>'Cash &amp; runway'!P5-'Cash &amp; runway'!P6</f>
        <v>-20.149999999999977</v>
      </c>
      <c r="Q7" s="11">
        <f>'Cash &amp; runway'!Q5-'Cash &amp; runway'!Q6</f>
        <v>-20.149999999999977</v>
      </c>
      <c r="R7" s="11">
        <f>'Cash &amp; runway'!R5-'Cash &amp; runway'!R6</f>
        <v>-20.149999999999977</v>
      </c>
      <c r="S7" s="11">
        <f>'Cash &amp; runway'!S5-'Cash &amp; runway'!S6</f>
        <v>-20.149999999999977</v>
      </c>
      <c r="T7" s="11">
        <f>'Cash &amp; runway'!T5-'Cash &amp; runway'!T6</f>
        <v>-20.149999999999977</v>
      </c>
      <c r="U7" s="11">
        <f>'Cash &amp; runway'!U5-'Cash &amp; runway'!U6</f>
        <v>-20.149999999999977</v>
      </c>
      <c r="V7" s="11">
        <f>'Cash &amp; runway'!V5-'Cash &amp; runway'!V6</f>
        <v>-20.149999999999977</v>
      </c>
      <c r="W7" s="11">
        <f>'Cash &amp; runway'!W5-'Cash &amp; runway'!W6</f>
        <v>-20.149999999999977</v>
      </c>
      <c r="X7" s="11">
        <f>'Cash &amp; runway'!X5-'Cash &amp; runway'!X6</f>
        <v>-20.149999999999977</v>
      </c>
      <c r="Y7" s="11">
        <f>'Cash &amp; runway'!Y5-'Cash &amp; runway'!Y6</f>
        <v>-20.149999999999977</v>
      </c>
    </row>
    <row r="8"/>
    <row r="9">
      <c r="A9" t="inlineStr" s="8">
        <is>
          <t xml:space="preserve">Cash collected from customers</t>
        </is>
      </c>
      <c r="B9" s="12">
        <f>'Model inputs'!C22*(1-'Model inputs'!B21)</f>
        <v>0</v>
      </c>
      <c r="C9" s="12">
        <f>'Model inputs'!D22*(1-'Model inputs'!B21)</f>
        <v>0</v>
      </c>
      <c r="D9" s="12">
        <f>'Model inputs'!E22*(1-'Model inputs'!B21)</f>
        <v>247.35000000000002</v>
      </c>
      <c r="E9" s="12">
        <f>'Model inputs'!F22*(1-'Model inputs'!B21)</f>
        <v>247.35000000000002</v>
      </c>
      <c r="F9" s="12">
        <f>'Model inputs'!G22*(1-'Model inputs'!B21)</f>
        <v>247.35000000000002</v>
      </c>
      <c r="G9" s="12">
        <f>'Model inputs'!H22*(1-'Model inputs'!B21)</f>
        <v>247.35000000000002</v>
      </c>
      <c r="H9" s="12">
        <f>'Model inputs'!I22*(1-'Model inputs'!B21)</f>
        <v>247.35000000000002</v>
      </c>
      <c r="I9" s="12">
        <f>'Model inputs'!J22*(1-'Model inputs'!B21)</f>
        <v>247.35000000000002</v>
      </c>
      <c r="J9" s="12">
        <f>'Model inputs'!K22*(1-'Model inputs'!B21)</f>
        <v>247.35000000000002</v>
      </c>
      <c r="K9" s="12">
        <f>'Model inputs'!L22*(1-'Model inputs'!B21)</f>
        <v>247.35000000000002</v>
      </c>
      <c r="L9" s="12">
        <f>'Model inputs'!M22*(1-'Model inputs'!B21)</f>
        <v>247.35000000000002</v>
      </c>
      <c r="M9" s="12">
        <f>'Model inputs'!N22*(1-'Model inputs'!B21)</f>
        <v>247.35000000000002</v>
      </c>
      <c r="N9" s="12">
        <f>'Model inputs'!O22*(1-'Model inputs'!B21)</f>
        <v>247.35000000000002</v>
      </c>
      <c r="O9" s="12">
        <f>'Model inputs'!P22*(1-'Model inputs'!B21)</f>
        <v>247.35000000000002</v>
      </c>
      <c r="P9" s="12">
        <f>'Model inputs'!Q22*(1-'Model inputs'!B21)</f>
        <v>247.35000000000002</v>
      </c>
      <c r="Q9" s="12">
        <f>'Model inputs'!R22*(1-'Model inputs'!B21)</f>
        <v>247.35000000000002</v>
      </c>
      <c r="R9" s="12">
        <f>'Model inputs'!S22*(1-'Model inputs'!B21)</f>
        <v>247.35000000000002</v>
      </c>
      <c r="S9" s="12">
        <f>'Model inputs'!T22*(1-'Model inputs'!B21)</f>
        <v>247.35000000000002</v>
      </c>
      <c r="T9" s="12">
        <f>'Model inputs'!U22*(1-'Model inputs'!B21)</f>
        <v>247.35000000000002</v>
      </c>
      <c r="U9" s="12">
        <f>'Model inputs'!V22*(1-'Model inputs'!B21)</f>
        <v>247.35000000000002</v>
      </c>
      <c r="V9" s="12">
        <f>'Model inputs'!W22*(1-'Model inputs'!B21)</f>
        <v>247.35000000000002</v>
      </c>
      <c r="W9" s="12">
        <f>'Model inputs'!X22*(1-'Model inputs'!B21)</f>
        <v>247.35000000000002</v>
      </c>
      <c r="X9" s="12">
        <f>'Model inputs'!Y22*(1-'Model inputs'!B21)</f>
        <v>247.35000000000002</v>
      </c>
      <c r="Y9" s="12">
        <f>'Model inputs'!Z22*(1-'Model inputs'!B21)</f>
        <v>247.35000000000002</v>
      </c>
    </row>
    <row r="10">
      <c r="A10" t="inlineStr" s="8">
        <is>
          <t xml:space="preserve">Model usage cost</t>
        </is>
      </c>
      <c r="B10" s="9">
        <f>'Model inputs'!D23*'Model inputs'!B6</f>
        <v>0</v>
      </c>
      <c r="C10" s="9">
        <f>'Model inputs'!E23*'Model inputs'!B6</f>
        <v>97.5</v>
      </c>
      <c r="D10" s="9">
        <f>'Model inputs'!F23*'Model inputs'!B6</f>
        <v>97.5</v>
      </c>
      <c r="E10" s="9">
        <f>'Model inputs'!G23*'Model inputs'!B6</f>
        <v>97.5</v>
      </c>
      <c r="F10" s="9">
        <f>'Model inputs'!H23*'Model inputs'!B6</f>
        <v>97.5</v>
      </c>
      <c r="G10" s="9">
        <f>'Model inputs'!I23*'Model inputs'!B6</f>
        <v>97.5</v>
      </c>
      <c r="H10" s="9">
        <f>'Model inputs'!J23*'Model inputs'!B6</f>
        <v>97.5</v>
      </c>
      <c r="I10" s="9">
        <f>'Model inputs'!K23*'Model inputs'!B6</f>
        <v>97.5</v>
      </c>
      <c r="J10" s="9">
        <f>'Model inputs'!L23*'Model inputs'!B6</f>
        <v>97.5</v>
      </c>
      <c r="K10" s="9">
        <f>'Model inputs'!M23*'Model inputs'!B6</f>
        <v>97.5</v>
      </c>
      <c r="L10" s="9">
        <f>'Model inputs'!N23*'Model inputs'!B6</f>
        <v>97.5</v>
      </c>
      <c r="M10" s="9">
        <f>'Model inputs'!O23*'Model inputs'!B6</f>
        <v>97.5</v>
      </c>
      <c r="N10" s="9">
        <f>'Model inputs'!P23*'Model inputs'!B6</f>
        <v>97.5</v>
      </c>
      <c r="O10" s="9">
        <f>'Model inputs'!Q23*'Model inputs'!B6</f>
        <v>97.5</v>
      </c>
      <c r="P10" s="9">
        <f>'Model inputs'!R23*'Model inputs'!B6</f>
        <v>97.5</v>
      </c>
      <c r="Q10" s="9">
        <f>'Model inputs'!S23*'Model inputs'!B6</f>
        <v>97.5</v>
      </c>
      <c r="R10" s="9">
        <f>'Model inputs'!T23*'Model inputs'!B6</f>
        <v>97.5</v>
      </c>
      <c r="S10" s="9">
        <f>'Model inputs'!U23*'Model inputs'!B6</f>
        <v>97.5</v>
      </c>
      <c r="T10" s="9">
        <f>'Model inputs'!V23*'Model inputs'!B6</f>
        <v>97.5</v>
      </c>
      <c r="U10" s="9">
        <f>'Model inputs'!W23*'Model inputs'!B6</f>
        <v>97.5</v>
      </c>
      <c r="V10" s="9">
        <f>'Model inputs'!X23*'Model inputs'!B6</f>
        <v>97.5</v>
      </c>
      <c r="W10" s="9">
        <f>'Model inputs'!Y23*'Model inputs'!B6</f>
        <v>97.5</v>
      </c>
      <c r="X10" s="9">
        <f>'Model inputs'!Z23*'Model inputs'!B6</f>
        <v>97.5</v>
      </c>
      <c r="Y10" s="9">
        <f>'Model inputs'!AA23*'Model inputs'!B6</f>
        <v>97.5</v>
      </c>
    </row>
    <row r="11">
      <c r="A11" t="inlineStr" s="10">
        <is>
          <t xml:space="preserve">Net cash flow</t>
        </is>
      </c>
      <c r="B11" s="11">
        <f>'Cash &amp; runway'!B9-'Cash &amp; runway'!B10-'Cash &amp; runway'!B6</f>
        <v>-170</v>
      </c>
      <c r="C11" s="11">
        <f>'Cash &amp; runway'!C9-'Cash &amp; runway'!C10-'Cash &amp; runway'!C6</f>
        <v>-267.5</v>
      </c>
      <c r="D11" s="11">
        <f>'Cash &amp; runway'!D9-'Cash &amp; runway'!D10-'Cash &amp; runway'!D6</f>
        <v>-20.149999999999977</v>
      </c>
      <c r="E11" s="11">
        <f>'Cash &amp; runway'!E9-'Cash &amp; runway'!E10-'Cash &amp; runway'!E6</f>
        <v>-20.149999999999977</v>
      </c>
      <c r="F11" s="11">
        <f>'Cash &amp; runway'!F9-'Cash &amp; runway'!F10-'Cash &amp; runway'!F6</f>
        <v>-20.149999999999977</v>
      </c>
      <c r="G11" s="11">
        <f>'Cash &amp; runway'!G9-'Cash &amp; runway'!G10-'Cash &amp; runway'!G6</f>
        <v>-20.149999999999977</v>
      </c>
      <c r="H11" s="11">
        <f>'Cash &amp; runway'!H9-'Cash &amp; runway'!H10-'Cash &amp; runway'!H6</f>
        <v>-20.149999999999977</v>
      </c>
      <c r="I11" s="11">
        <f>'Cash &amp; runway'!I9-'Cash &amp; runway'!I10-'Cash &amp; runway'!I6</f>
        <v>-20.149999999999977</v>
      </c>
      <c r="J11" s="11">
        <f>'Cash &amp; runway'!J9-'Cash &amp; runway'!J10-'Cash &amp; runway'!J6</f>
        <v>-20.149999999999977</v>
      </c>
      <c r="K11" s="11">
        <f>'Cash &amp; runway'!K9-'Cash &amp; runway'!K10-'Cash &amp; runway'!K6</f>
        <v>-20.149999999999977</v>
      </c>
      <c r="L11" s="11">
        <f>'Cash &amp; runway'!L9-'Cash &amp; runway'!L10-'Cash &amp; runway'!L6</f>
        <v>-20.149999999999977</v>
      </c>
      <c r="M11" s="11">
        <f>'Cash &amp; runway'!M9-'Cash &amp; runway'!M10-'Cash &amp; runway'!M6</f>
        <v>-20.149999999999977</v>
      </c>
      <c r="N11" s="11">
        <f>'Cash &amp; runway'!N9-'Cash &amp; runway'!N10-'Cash &amp; runway'!N6</f>
        <v>-20.149999999999977</v>
      </c>
      <c r="O11" s="11">
        <f>'Cash &amp; runway'!O9-'Cash &amp; runway'!O10-'Cash &amp; runway'!O6</f>
        <v>-20.149999999999977</v>
      </c>
      <c r="P11" s="11">
        <f>'Cash &amp; runway'!P9-'Cash &amp; runway'!P10-'Cash &amp; runway'!P6</f>
        <v>-20.149999999999977</v>
      </c>
      <c r="Q11" s="11">
        <f>'Cash &amp; runway'!Q9-'Cash &amp; runway'!Q10-'Cash &amp; runway'!Q6</f>
        <v>-20.149999999999977</v>
      </c>
      <c r="R11" s="11">
        <f>'Cash &amp; runway'!R9-'Cash &amp; runway'!R10-'Cash &amp; runway'!R6</f>
        <v>-20.149999999999977</v>
      </c>
      <c r="S11" s="11">
        <f>'Cash &amp; runway'!S9-'Cash &amp; runway'!S10-'Cash &amp; runway'!S6</f>
        <v>-20.149999999999977</v>
      </c>
      <c r="T11" s="11">
        <f>'Cash &amp; runway'!T9-'Cash &amp; runway'!T10-'Cash &amp; runway'!T6</f>
        <v>-20.149999999999977</v>
      </c>
      <c r="U11" s="11">
        <f>'Cash &amp; runway'!U9-'Cash &amp; runway'!U10-'Cash &amp; runway'!U6</f>
        <v>-20.149999999999977</v>
      </c>
      <c r="V11" s="11">
        <f>'Cash &amp; runway'!V9-'Cash &amp; runway'!V10-'Cash &amp; runway'!V6</f>
        <v>-20.149999999999977</v>
      </c>
      <c r="W11" s="11">
        <f>'Cash &amp; runway'!W9-'Cash &amp; runway'!W10-'Cash &amp; runway'!W6</f>
        <v>-20.149999999999977</v>
      </c>
      <c r="X11" s="11">
        <f>'Cash &amp; runway'!X9-'Cash &amp; runway'!X10-'Cash &amp; runway'!X6</f>
        <v>-20.149999999999977</v>
      </c>
      <c r="Y11" s="11">
        <f>'Cash &amp; runway'!Y9-'Cash &amp; runway'!Y10-'Cash &amp; runway'!Y6</f>
        <v>-20.149999999999977</v>
      </c>
    </row>
    <row r="12">
      <c r="A12" t="inlineStr" s="10">
        <is>
          <t xml:space="preserve">Cash balance</t>
        </is>
      </c>
      <c r="B12" s="11">
        <f>'Model inputs'!C7+'Cash &amp; runway'!B11</f>
        <v>2830</v>
      </c>
      <c r="C12" s="11">
        <f>'Cash &amp; runway'!B12+'Cash &amp; runway'!C11</f>
        <v>2562.5</v>
      </c>
      <c r="D12" s="11">
        <f>'Cash &amp; runway'!C12+'Cash &amp; runway'!D11</f>
        <v>2542.35</v>
      </c>
      <c r="E12" s="11">
        <f>'Cash &amp; runway'!D12+'Cash &amp; runway'!E11</f>
        <v>2522.2</v>
      </c>
      <c r="F12" s="11">
        <f>'Cash &amp; runway'!E12+'Cash &amp; runway'!F11</f>
        <v>2502.0499999999997</v>
      </c>
      <c r="G12" s="11">
        <f>'Cash &amp; runway'!F12+'Cash &amp; runway'!G11</f>
        <v>2481.8999999999996</v>
      </c>
      <c r="H12" s="11">
        <f>'Cash &amp; runway'!G12+'Cash &amp; runway'!H11</f>
        <v>2461.7499999999995</v>
      </c>
      <c r="I12" s="11">
        <f>'Cash &amp; runway'!H12+'Cash &amp; runway'!I11</f>
        <v>2441.5999999999995</v>
      </c>
      <c r="J12" s="11">
        <f>'Cash &amp; runway'!I12+'Cash &amp; runway'!J11</f>
        <v>2421.4499999999994</v>
      </c>
      <c r="K12" s="11">
        <f>'Cash &amp; runway'!J12+'Cash &amp; runway'!K11</f>
        <v>2401.2999999999993</v>
      </c>
      <c r="L12" s="11">
        <f>'Cash &amp; runway'!K12+'Cash &amp; runway'!L11</f>
        <v>2381.149999999999</v>
      </c>
      <c r="M12" s="11">
        <f>'Cash &amp; runway'!L12+'Cash &amp; runway'!M11</f>
        <v>2360.999999999999</v>
      </c>
      <c r="N12" s="11">
        <f>'Cash &amp; runway'!M12+'Cash &amp; runway'!N11</f>
        <v>2340.849999999999</v>
      </c>
      <c r="O12" s="11">
        <f>'Cash &amp; runway'!N12+'Cash &amp; runway'!O11</f>
        <v>2320.699999999999</v>
      </c>
      <c r="P12" s="11">
        <f>'Cash &amp; runway'!O12+'Cash &amp; runway'!P11</f>
        <v>2300.549999999999</v>
      </c>
      <c r="Q12" s="11">
        <f>'Cash &amp; runway'!P12+'Cash &amp; runway'!Q11</f>
        <v>2280.3999999999987</v>
      </c>
      <c r="R12" s="11">
        <f>'Cash &amp; runway'!Q12+'Cash &amp; runway'!R11</f>
        <v>2260.2499999999986</v>
      </c>
      <c r="S12" s="11">
        <f>'Cash &amp; runway'!R12+'Cash &amp; runway'!S11</f>
        <v>2240.0999999999985</v>
      </c>
      <c r="T12" s="11">
        <f>'Cash &amp; runway'!S12+'Cash &amp; runway'!T11</f>
        <v>2219.9499999999985</v>
      </c>
      <c r="U12" s="11">
        <f>'Cash &amp; runway'!T12+'Cash &amp; runway'!U11</f>
        <v>2199.7999999999984</v>
      </c>
      <c r="V12" s="11">
        <f>'Cash &amp; runway'!U12+'Cash &amp; runway'!V11</f>
        <v>2179.6499999999983</v>
      </c>
      <c r="W12" s="11">
        <f>'Cash &amp; runway'!V12+'Cash &amp; runway'!W11</f>
        <v>2159.499999999998</v>
      </c>
      <c r="X12" s="11">
        <f>'Cash &amp; runway'!W12+'Cash &amp; runway'!X11</f>
        <v>2139.349999999998</v>
      </c>
      <c r="Y12" s="11">
        <f>'Cash &amp; runway'!X12+'Cash &amp; runway'!Y11</f>
        <v>2119.199999999998</v>
      </c>
    </row>
    <row r="13">
      <c r="A13" t="inlineStr" s="6">
        <is>
          <t xml:space="preserve">Runway (months)</t>
        </is>
      </c>
      <c r="B13" s="13">
        <f>IF(IF(IF(ISERROR('Cash &amp; runway'!B12&lt;=0),'Cash &amp; runway'!B12&lt;=0,IF('Cash &amp; runway'!B12="","",'Cash &amp; runway'!B12&lt;=0))="",FALSE,IF(ISERROR('Cash &amp; runway'!B12&lt;=0),'Cash &amp; runway'!B12&lt;=0,IF('Cash &amp; runway'!B12="","",'Cash &amp; runway'!B12&lt;=0))),0,IF(IF(IF(ISERROR('Cash &amp; runway'!B11&gt;=0),'Cash &amp; runway'!B11&gt;=0,IF('Cash &amp; runway'!B11="","",'Cash &amp; runway'!B11&gt;=0))="",FALSE,IF(ISERROR('Cash &amp; runway'!B11&gt;=0),'Cash &amp; runway'!B11&gt;=0,IF('Cash &amp; runway'!B11="","",'Cash &amp; runway'!B11&gt;=0))),"",'Cash &amp; runway'!B12/-'Cash &amp; runway'!B11))</f>
        <v>16.647058823529413</v>
      </c>
      <c r="C13" s="13">
        <f>IF(IF(IF(ISERROR('Cash &amp; runway'!C12&lt;=0),'Cash &amp; runway'!C12&lt;=0,IF('Cash &amp; runway'!C12="","",'Cash &amp; runway'!C12&lt;=0))="",FALSE,IF(ISERROR('Cash &amp; runway'!C12&lt;=0),'Cash &amp; runway'!C12&lt;=0,IF('Cash &amp; runway'!C12="","",'Cash &amp; runway'!C12&lt;=0))),0,IF(IF(IF(ISERROR('Cash &amp; runway'!C11&gt;=0),'Cash &amp; runway'!C11&gt;=0,IF('Cash &amp; runway'!C11="","",'Cash &amp; runway'!C11&gt;=0))="",FALSE,IF(ISERROR('Cash &amp; runway'!C11&gt;=0),'Cash &amp; runway'!C11&gt;=0,IF('Cash &amp; runway'!C11="","",'Cash &amp; runway'!C11&gt;=0))),"",'Cash &amp; runway'!C12/-'Cash &amp; runway'!C11))</f>
        <v>9.57943925233645</v>
      </c>
      <c r="D13" s="13">
        <f>IF(IF(IF(ISERROR('Cash &amp; runway'!D12&lt;=0),'Cash &amp; runway'!D12&lt;=0,IF('Cash &amp; runway'!D12="","",'Cash &amp; runway'!D12&lt;=0))="",FALSE,IF(ISERROR('Cash &amp; runway'!D12&lt;=0),'Cash &amp; runway'!D12&lt;=0,IF('Cash &amp; runway'!D12="","",'Cash &amp; runway'!D12&lt;=0))),0,IF(IF(IF(ISERROR('Cash &amp; runway'!D11&gt;=0),'Cash &amp; runway'!D11&gt;=0,IF('Cash &amp; runway'!D11="","",'Cash &amp; runway'!D11&gt;=0))="",FALSE,IF(ISERROR('Cash &amp; runway'!D11&gt;=0),'Cash &amp; runway'!D11&gt;=0,IF('Cash &amp; runway'!D11="","",'Cash &amp; runway'!D11&gt;=0))),"",'Cash &amp; runway'!D12/-'Cash &amp; runway'!D11))</f>
        <v>126.17121588089344</v>
      </c>
      <c r="E13" s="13">
        <f>IF(IF(IF(ISERROR('Cash &amp; runway'!E12&lt;=0),'Cash &amp; runway'!E12&lt;=0,IF('Cash &amp; runway'!E12="","",'Cash &amp; runway'!E12&lt;=0))="",FALSE,IF(ISERROR('Cash &amp; runway'!E12&lt;=0),'Cash &amp; runway'!E12&lt;=0,IF('Cash &amp; runway'!E12="","",'Cash &amp; runway'!E12&lt;=0))),0,IF(IF(IF(ISERROR('Cash &amp; runway'!E11&gt;=0),'Cash &amp; runway'!E11&gt;=0,IF('Cash &amp; runway'!E11="","",'Cash &amp; runway'!E11&gt;=0))="",FALSE,IF(ISERROR('Cash &amp; runway'!E11&gt;=0),'Cash &amp; runway'!E11&gt;=0,IF('Cash &amp; runway'!E11="","",'Cash &amp; runway'!E11&gt;=0))),"",'Cash &amp; runway'!E12/-'Cash &amp; runway'!E11))</f>
        <v>125.17121588089343</v>
      </c>
      <c r="F13" s="13">
        <f>IF(IF(IF(ISERROR('Cash &amp; runway'!F12&lt;=0),'Cash &amp; runway'!F12&lt;=0,IF('Cash &amp; runway'!F12="","",'Cash &amp; runway'!F12&lt;=0))="",FALSE,IF(ISERROR('Cash &amp; runway'!F12&lt;=0),'Cash &amp; runway'!F12&lt;=0,IF('Cash &amp; runway'!F12="","",'Cash &amp; runway'!F12&lt;=0))),0,IF(IF(IF(ISERROR('Cash &amp; runway'!F11&gt;=0),'Cash &amp; runway'!F11&gt;=0,IF('Cash &amp; runway'!F11="","",'Cash &amp; runway'!F11&gt;=0))="",FALSE,IF(ISERROR('Cash &amp; runway'!F11&gt;=0),'Cash &amp; runway'!F11&gt;=0,IF('Cash &amp; runway'!F11="","",'Cash &amp; runway'!F11&gt;=0))),"",'Cash &amp; runway'!F12/-'Cash &amp; runway'!F11))</f>
        <v>124.17121588089343</v>
      </c>
      <c r="G13" s="13">
        <f>IF(IF(IF(ISERROR('Cash &amp; runway'!G12&lt;=0),'Cash &amp; runway'!G12&lt;=0,IF('Cash &amp; runway'!G12="","",'Cash &amp; runway'!G12&lt;=0))="",FALSE,IF(ISERROR('Cash &amp; runway'!G12&lt;=0),'Cash &amp; runway'!G12&lt;=0,IF('Cash &amp; runway'!G12="","",'Cash &amp; runway'!G12&lt;=0))),0,IF(IF(IF(ISERROR('Cash &amp; runway'!G11&gt;=0),'Cash &amp; runway'!G11&gt;=0,IF('Cash &amp; runway'!G11="","",'Cash &amp; runway'!G11&gt;=0))="",FALSE,IF(ISERROR('Cash &amp; runway'!G11&gt;=0),'Cash &amp; runway'!G11&gt;=0,IF('Cash &amp; runway'!G11="","",'Cash &amp; runway'!G11&gt;=0))),"",'Cash &amp; runway'!G12/-'Cash &amp; runway'!G11))</f>
        <v>123.17121588089343</v>
      </c>
      <c r="H13" s="13">
        <f>IF(IF(IF(ISERROR('Cash &amp; runway'!H12&lt;=0),'Cash &amp; runway'!H12&lt;=0,IF('Cash &amp; runway'!H12="","",'Cash &amp; runway'!H12&lt;=0))="",FALSE,IF(ISERROR('Cash &amp; runway'!H12&lt;=0),'Cash &amp; runway'!H12&lt;=0,IF('Cash &amp; runway'!H12="","",'Cash &amp; runway'!H12&lt;=0))),0,IF(IF(IF(ISERROR('Cash &amp; runway'!H11&gt;=0),'Cash &amp; runway'!H11&gt;=0,IF('Cash &amp; runway'!H11="","",'Cash &amp; runway'!H11&gt;=0))="",FALSE,IF(ISERROR('Cash &amp; runway'!H11&gt;=0),'Cash &amp; runway'!H11&gt;=0,IF('Cash &amp; runway'!H11="","",'Cash &amp; runway'!H11&gt;=0))),"",'Cash &amp; runway'!H12/-'Cash &amp; runway'!H11))</f>
        <v>122.17121588089341</v>
      </c>
      <c r="I13" s="13">
        <f>IF(IF(IF(ISERROR('Cash &amp; runway'!I12&lt;=0),'Cash &amp; runway'!I12&lt;=0,IF('Cash &amp; runway'!I12="","",'Cash &amp; runway'!I12&lt;=0))="",FALSE,IF(ISERROR('Cash &amp; runway'!I12&lt;=0),'Cash &amp; runway'!I12&lt;=0,IF('Cash &amp; runway'!I12="","",'Cash &amp; runway'!I12&lt;=0))),0,IF(IF(IF(ISERROR('Cash &amp; runway'!I11&gt;=0),'Cash &amp; runway'!I11&gt;=0,IF('Cash &amp; runway'!I11="","",'Cash &amp; runway'!I11&gt;=0))="",FALSE,IF(ISERROR('Cash &amp; runway'!I11&gt;=0),'Cash &amp; runway'!I11&gt;=0,IF('Cash &amp; runway'!I11="","",'Cash &amp; runway'!I11&gt;=0))),"",'Cash &amp; runway'!I12/-'Cash &amp; runway'!I11))</f>
        <v>121.17121588089341</v>
      </c>
      <c r="J13" s="13">
        <f>IF(IF(IF(ISERROR('Cash &amp; runway'!J12&lt;=0),'Cash &amp; runway'!J12&lt;=0,IF('Cash &amp; runway'!J12="","",'Cash &amp; runway'!J12&lt;=0))="",FALSE,IF(ISERROR('Cash &amp; runway'!J12&lt;=0),'Cash &amp; runway'!J12&lt;=0,IF('Cash &amp; runway'!J12="","",'Cash &amp; runway'!J12&lt;=0))),0,IF(IF(IF(ISERROR('Cash &amp; runway'!J11&gt;=0),'Cash &amp; runway'!J11&gt;=0,IF('Cash &amp; runway'!J11="","",'Cash &amp; runway'!J11&gt;=0))="",FALSE,IF(ISERROR('Cash &amp; runway'!J11&gt;=0),'Cash &amp; runway'!J11&gt;=0,IF('Cash &amp; runway'!J11="","",'Cash &amp; runway'!J11&gt;=0))),"",'Cash &amp; runway'!J12/-'Cash &amp; runway'!J11))</f>
        <v>120.1712158808934</v>
      </c>
      <c r="K13" s="13">
        <f>IF(IF(IF(ISERROR('Cash &amp; runway'!K12&lt;=0),'Cash &amp; runway'!K12&lt;=0,IF('Cash &amp; runway'!K12="","",'Cash &amp; runway'!K12&lt;=0))="",FALSE,IF(ISERROR('Cash &amp; runway'!K12&lt;=0),'Cash &amp; runway'!K12&lt;=0,IF('Cash &amp; runway'!K12="","",'Cash &amp; runway'!K12&lt;=0))),0,IF(IF(IF(ISERROR('Cash &amp; runway'!K11&gt;=0),'Cash &amp; runway'!K11&gt;=0,IF('Cash &amp; runway'!K11="","",'Cash &amp; runway'!K11&gt;=0))="",FALSE,IF(ISERROR('Cash &amp; runway'!K11&gt;=0),'Cash &amp; runway'!K11&gt;=0,IF('Cash &amp; runway'!K11="","",'Cash &amp; runway'!K11&gt;=0))),"",'Cash &amp; runway'!K12/-'Cash &amp; runway'!K11))</f>
        <v>119.1712158808934</v>
      </c>
      <c r="L13" s="13">
        <f>IF(IF(IF(ISERROR('Cash &amp; runway'!L12&lt;=0),'Cash &amp; runway'!L12&lt;=0,IF('Cash &amp; runway'!L12="","",'Cash &amp; runway'!L12&lt;=0))="",FALSE,IF(ISERROR('Cash &amp; runway'!L12&lt;=0),'Cash &amp; runway'!L12&lt;=0,IF('Cash &amp; runway'!L12="","",'Cash &amp; runway'!L12&lt;=0))),0,IF(IF(IF(ISERROR('Cash &amp; runway'!L11&gt;=0),'Cash &amp; runway'!L11&gt;=0,IF('Cash &amp; runway'!L11="","",'Cash &amp; runway'!L11&gt;=0))="",FALSE,IF(ISERROR('Cash &amp; runway'!L11&gt;=0),'Cash &amp; runway'!L11&gt;=0,IF('Cash &amp; runway'!L11="","",'Cash &amp; runway'!L11&gt;=0))),"",'Cash &amp; runway'!L12/-'Cash &amp; runway'!L11))</f>
        <v>118.1712158808934</v>
      </c>
      <c r="M13" s="13">
        <f>IF(IF(IF(ISERROR('Cash &amp; runway'!M12&lt;=0),'Cash &amp; runway'!M12&lt;=0,IF('Cash &amp; runway'!M12="","",'Cash &amp; runway'!M12&lt;=0))="",FALSE,IF(ISERROR('Cash &amp; runway'!M12&lt;=0),'Cash &amp; runway'!M12&lt;=0,IF('Cash &amp; runway'!M12="","",'Cash &amp; runway'!M12&lt;=0))),0,IF(IF(IF(ISERROR('Cash &amp; runway'!M11&gt;=0),'Cash &amp; runway'!M11&gt;=0,IF('Cash &amp; runway'!M11="","",'Cash &amp; runway'!M11&gt;=0))="",FALSE,IF(ISERROR('Cash &amp; runway'!M11&gt;=0),'Cash &amp; runway'!M11&gt;=0,IF('Cash &amp; runway'!M11="","",'Cash &amp; runway'!M11&gt;=0))),"",'Cash &amp; runway'!M12/-'Cash &amp; runway'!M11))</f>
        <v>117.17121588089339</v>
      </c>
      <c r="N13" s="13">
        <f>IF(IF(IF(ISERROR('Cash &amp; runway'!N12&lt;=0),'Cash &amp; runway'!N12&lt;=0,IF('Cash &amp; runway'!N12="","",'Cash &amp; runway'!N12&lt;=0))="",FALSE,IF(ISERROR('Cash &amp; runway'!N12&lt;=0),'Cash &amp; runway'!N12&lt;=0,IF('Cash &amp; runway'!N12="","",'Cash &amp; runway'!N12&lt;=0))),0,IF(IF(IF(ISERROR('Cash &amp; runway'!N11&gt;=0),'Cash &amp; runway'!N11&gt;=0,IF('Cash &amp; runway'!N11="","",'Cash &amp; runway'!N11&gt;=0))="",FALSE,IF(ISERROR('Cash &amp; runway'!N11&gt;=0),'Cash &amp; runway'!N11&gt;=0,IF('Cash &amp; runway'!N11="","",'Cash &amp; runway'!N11&gt;=0))),"",'Cash &amp; runway'!N12/-'Cash &amp; runway'!N11))</f>
        <v>116.17121588089339</v>
      </c>
      <c r="O13" s="13">
        <f>IF(IF(IF(ISERROR('Cash &amp; runway'!O12&lt;=0),'Cash &amp; runway'!O12&lt;=0,IF('Cash &amp; runway'!O12="","",'Cash &amp; runway'!O12&lt;=0))="",FALSE,IF(ISERROR('Cash &amp; runway'!O12&lt;=0),'Cash &amp; runway'!O12&lt;=0,IF('Cash &amp; runway'!O12="","",'Cash &amp; runway'!O12&lt;=0))),0,IF(IF(IF(ISERROR('Cash &amp; runway'!O11&gt;=0),'Cash &amp; runway'!O11&gt;=0,IF('Cash &amp; runway'!O11="","",'Cash &amp; runway'!O11&gt;=0))="",FALSE,IF(ISERROR('Cash &amp; runway'!O11&gt;=0),'Cash &amp; runway'!O11&gt;=0,IF('Cash &amp; runway'!O11="","",'Cash &amp; runway'!O11&gt;=0))),"",'Cash &amp; runway'!O12/-'Cash &amp; runway'!O11))</f>
        <v>115.17121588089337</v>
      </c>
      <c r="P13" s="13">
        <f>IF(IF(IF(ISERROR('Cash &amp; runway'!P12&lt;=0),'Cash &amp; runway'!P12&lt;=0,IF('Cash &amp; runway'!P12="","",'Cash &amp; runway'!P12&lt;=0))="",FALSE,IF(ISERROR('Cash &amp; runway'!P12&lt;=0),'Cash &amp; runway'!P12&lt;=0,IF('Cash &amp; runway'!P12="","",'Cash &amp; runway'!P12&lt;=0))),0,IF(IF(IF(ISERROR('Cash &amp; runway'!P11&gt;=0),'Cash &amp; runway'!P11&gt;=0,IF('Cash &amp; runway'!P11="","",'Cash &amp; runway'!P11&gt;=0))="",FALSE,IF(ISERROR('Cash &amp; runway'!P11&gt;=0),'Cash &amp; runway'!P11&gt;=0,IF('Cash &amp; runway'!P11="","",'Cash &amp; runway'!P11&gt;=0))),"",'Cash &amp; runway'!P12/-'Cash &amp; runway'!P11))</f>
        <v>114.17121588089337</v>
      </c>
      <c r="Q13" s="13">
        <f>IF(IF(IF(ISERROR('Cash &amp; runway'!Q12&lt;=0),'Cash &amp; runway'!Q12&lt;=0,IF('Cash &amp; runway'!Q12="","",'Cash &amp; runway'!Q12&lt;=0))="",FALSE,IF(ISERROR('Cash &amp; runway'!Q12&lt;=0),'Cash &amp; runway'!Q12&lt;=0,IF('Cash &amp; runway'!Q12="","",'Cash &amp; runway'!Q12&lt;=0))),0,IF(IF(IF(ISERROR('Cash &amp; runway'!Q11&gt;=0),'Cash &amp; runway'!Q11&gt;=0,IF('Cash &amp; runway'!Q11="","",'Cash &amp; runway'!Q11&gt;=0))="",FALSE,IF(ISERROR('Cash &amp; runway'!Q11&gt;=0),'Cash &amp; runway'!Q11&gt;=0,IF('Cash &amp; runway'!Q11="","",'Cash &amp; runway'!Q11&gt;=0))),"",'Cash &amp; runway'!Q12/-'Cash &amp; runway'!Q11))</f>
        <v>113.17121588089337</v>
      </c>
      <c r="R13" s="13">
        <f>IF(IF(IF(ISERROR('Cash &amp; runway'!R12&lt;=0),'Cash &amp; runway'!R12&lt;=0,IF('Cash &amp; runway'!R12="","",'Cash &amp; runway'!R12&lt;=0))="",FALSE,IF(ISERROR('Cash &amp; runway'!R12&lt;=0),'Cash &amp; runway'!R12&lt;=0,IF('Cash &amp; runway'!R12="","",'Cash &amp; runway'!R12&lt;=0))),0,IF(IF(IF(ISERROR('Cash &amp; runway'!R11&gt;=0),'Cash &amp; runway'!R11&gt;=0,IF('Cash &amp; runway'!R11="","",'Cash &amp; runway'!R11&gt;=0))="",FALSE,IF(ISERROR('Cash &amp; runway'!R11&gt;=0),'Cash &amp; runway'!R11&gt;=0,IF('Cash &amp; runway'!R11="","",'Cash &amp; runway'!R11&gt;=0))),"",'Cash &amp; runway'!R12/-'Cash &amp; runway'!R11))</f>
        <v>112.17121588089336</v>
      </c>
      <c r="S13" s="13">
        <f>IF(IF(IF(ISERROR('Cash &amp; runway'!S12&lt;=0),'Cash &amp; runway'!S12&lt;=0,IF('Cash &amp; runway'!S12="","",'Cash &amp; runway'!S12&lt;=0))="",FALSE,IF(ISERROR('Cash &amp; runway'!S12&lt;=0),'Cash &amp; runway'!S12&lt;=0,IF('Cash &amp; runway'!S12="","",'Cash &amp; runway'!S12&lt;=0))),0,IF(IF(IF(ISERROR('Cash &amp; runway'!S11&gt;=0),'Cash &amp; runway'!S11&gt;=0,IF('Cash &amp; runway'!S11="","",'Cash &amp; runway'!S11&gt;=0))="",FALSE,IF(ISERROR('Cash &amp; runway'!S11&gt;=0),'Cash &amp; runway'!S11&gt;=0,IF('Cash &amp; runway'!S11="","",'Cash &amp; runway'!S11&gt;=0))),"",'Cash &amp; runway'!S12/-'Cash &amp; runway'!S11))</f>
        <v>111.17121588089336</v>
      </c>
      <c r="T13" s="13">
        <f>IF(IF(IF(ISERROR('Cash &amp; runway'!T12&lt;=0),'Cash &amp; runway'!T12&lt;=0,IF('Cash &amp; runway'!T12="","",'Cash &amp; runway'!T12&lt;=0))="",FALSE,IF(ISERROR('Cash &amp; runway'!T12&lt;=0),'Cash &amp; runway'!T12&lt;=0,IF('Cash &amp; runway'!T12="","",'Cash &amp; runway'!T12&lt;=0))),0,IF(IF(IF(ISERROR('Cash &amp; runway'!T11&gt;=0),'Cash &amp; runway'!T11&gt;=0,IF('Cash &amp; runway'!T11="","",'Cash &amp; runway'!T11&gt;=0))="",FALSE,IF(ISERROR('Cash &amp; runway'!T11&gt;=0),'Cash &amp; runway'!T11&gt;=0,IF('Cash &amp; runway'!T11="","",'Cash &amp; runway'!T11&gt;=0))),"",'Cash &amp; runway'!T12/-'Cash &amp; runway'!T11))</f>
        <v>110.17121588089334</v>
      </c>
      <c r="U13" s="13">
        <f>IF(IF(IF(ISERROR('Cash &amp; runway'!U12&lt;=0),'Cash &amp; runway'!U12&lt;=0,IF('Cash &amp; runway'!U12="","",'Cash &amp; runway'!U12&lt;=0))="",FALSE,IF(ISERROR('Cash &amp; runway'!U12&lt;=0),'Cash &amp; runway'!U12&lt;=0,IF('Cash &amp; runway'!U12="","",'Cash &amp; runway'!U12&lt;=0))),0,IF(IF(IF(ISERROR('Cash &amp; runway'!U11&gt;=0),'Cash &amp; runway'!U11&gt;=0,IF('Cash &amp; runway'!U11="","",'Cash &amp; runway'!U11&gt;=0))="",FALSE,IF(ISERROR('Cash &amp; runway'!U11&gt;=0),'Cash &amp; runway'!U11&gt;=0,IF('Cash &amp; runway'!U11="","",'Cash &amp; runway'!U11&gt;=0))),"",'Cash &amp; runway'!U12/-'Cash &amp; runway'!U11))</f>
        <v>109.17121588089334</v>
      </c>
      <c r="V13" s="13">
        <f>IF(IF(IF(ISERROR('Cash &amp; runway'!V12&lt;=0),'Cash &amp; runway'!V12&lt;=0,IF('Cash &amp; runway'!V12="","",'Cash &amp; runway'!V12&lt;=0))="",FALSE,IF(ISERROR('Cash &amp; runway'!V12&lt;=0),'Cash &amp; runway'!V12&lt;=0,IF('Cash &amp; runway'!V12="","",'Cash &amp; runway'!V12&lt;=0))),0,IF(IF(IF(ISERROR('Cash &amp; runway'!V11&gt;=0),'Cash &amp; runway'!V11&gt;=0,IF('Cash &amp; runway'!V11="","",'Cash &amp; runway'!V11&gt;=0))="",FALSE,IF(ISERROR('Cash &amp; runway'!V11&gt;=0),'Cash &amp; runway'!V11&gt;=0,IF('Cash &amp; runway'!V11="","",'Cash &amp; runway'!V11&gt;=0))),"",'Cash &amp; runway'!V12/-'Cash &amp; runway'!V11))</f>
        <v>108.17121588089334</v>
      </c>
      <c r="W13" s="13">
        <f>IF(IF(IF(ISERROR('Cash &amp; runway'!W12&lt;=0),'Cash &amp; runway'!W12&lt;=0,IF('Cash &amp; runway'!W12="","",'Cash &amp; runway'!W12&lt;=0))="",FALSE,IF(ISERROR('Cash &amp; runway'!W12&lt;=0),'Cash &amp; runway'!W12&lt;=0,IF('Cash &amp; runway'!W12="","",'Cash &amp; runway'!W12&lt;=0))),0,IF(IF(IF(ISERROR('Cash &amp; runway'!W11&gt;=0),'Cash &amp; runway'!W11&gt;=0,IF('Cash &amp; runway'!W11="","",'Cash &amp; runway'!W11&gt;=0))="",FALSE,IF(ISERROR('Cash &amp; runway'!W11&gt;=0),'Cash &amp; runway'!W11&gt;=0,IF('Cash &amp; runway'!W11="","",'Cash &amp; runway'!W11&gt;=0))),"",'Cash &amp; runway'!W12/-'Cash &amp; runway'!W11))</f>
        <v>107.17121588089333</v>
      </c>
      <c r="X13" s="13">
        <f>IF(IF(IF(ISERROR('Cash &amp; runway'!X12&lt;=0),'Cash &amp; runway'!X12&lt;=0,IF('Cash &amp; runway'!X12="","",'Cash &amp; runway'!X12&lt;=0))="",FALSE,IF(ISERROR('Cash &amp; runway'!X12&lt;=0),'Cash &amp; runway'!X12&lt;=0,IF('Cash &amp; runway'!X12="","",'Cash &amp; runway'!X12&lt;=0))),0,IF(IF(IF(ISERROR('Cash &amp; runway'!X11&gt;=0),'Cash &amp; runway'!X11&gt;=0,IF('Cash &amp; runway'!X11="","",'Cash &amp; runway'!X11&gt;=0))="",FALSE,IF(ISERROR('Cash &amp; runway'!X11&gt;=0),'Cash &amp; runway'!X11&gt;=0,IF('Cash &amp; runway'!X11="","",'Cash &amp; runway'!X11&gt;=0))),"",'Cash &amp; runway'!X12/-'Cash &amp; runway'!X11))</f>
        <v>106.17121588089333</v>
      </c>
      <c r="Y13" s="13">
        <f>IF(IF(IF(ISERROR('Cash &amp; runway'!Y12&lt;=0),'Cash &amp; runway'!Y12&lt;=0,IF('Cash &amp; runway'!Y12="","",'Cash &amp; runway'!Y12&lt;=0))="",FALSE,IF(ISERROR('Cash &amp; runway'!Y12&lt;=0),'Cash &amp; runway'!Y12&lt;=0,IF('Cash &amp; runway'!Y12="","",'Cash &amp; runway'!Y12&lt;=0))),0,IF(IF(IF(ISERROR('Cash &amp; runway'!Y11&gt;=0),'Cash &amp; runway'!Y11&gt;=0,IF('Cash &amp; runway'!Y11="","",'Cash &amp; runway'!Y11&gt;=0))="",FALSE,IF(ISERROR('Cash &amp; runway'!Y11&gt;=0),'Cash &amp; runway'!Y11&gt;=0,IF('Cash &amp; runway'!Y11="","",'Cash &amp; runway'!Y11&gt;=0))),"",'Cash &amp; runway'!Y12/-'Cash &amp; runway'!Y11))</f>
        <v>105.17121588089331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Y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Cash with $2,000 founder salary</t>
        </is>
      </c>
    </row>
    <row r="2" ht="20" customHeight="1">
      <c r="A2" t="inlineStr" s="2">
        <is>
          <t xml:space="preserve">Cash &amp; 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Net cash flow</t>
        </is>
      </c>
      <c r="B5" s="7">
        <f>'Cash &amp; runway'!B9-'Cash &amp; runway'!B10-'Cash &amp; runway'!B6</f>
        <v>-170</v>
      </c>
      <c r="C5" s="7">
        <f>'Cash &amp; runway'!C9-'Cash &amp; runway'!C10-'Cash &amp; runway'!C6</f>
        <v>-267.5</v>
      </c>
      <c r="D5" s="7">
        <f>'Cash &amp; runway'!D9-'Cash &amp; runway'!D10-'Cash &amp; runway'!D6</f>
        <v>-20.149999999999977</v>
      </c>
      <c r="E5" s="7">
        <f>'Cash &amp; runway'!E9-'Cash &amp; runway'!E10-'Cash &amp; runway'!E6</f>
        <v>-20.149999999999977</v>
      </c>
      <c r="F5" s="7">
        <f>'Cash &amp; runway'!F9-'Cash &amp; runway'!F10-'Cash &amp; runway'!F6</f>
        <v>-20.149999999999977</v>
      </c>
      <c r="G5" s="7">
        <f>'Cash &amp; runway'!G9-'Cash &amp; runway'!G10-'Cash &amp; runway'!G6</f>
        <v>-20.149999999999977</v>
      </c>
      <c r="H5" s="7">
        <f>'Cash &amp; runway'!H9-'Cash &amp; runway'!H10-'Cash &amp; runway'!H6</f>
        <v>-20.149999999999977</v>
      </c>
      <c r="I5" s="7">
        <f>'Cash &amp; runway'!I9-'Cash &amp; runway'!I10-'Cash &amp; runway'!I6</f>
        <v>-20.149999999999977</v>
      </c>
      <c r="J5" s="7">
        <f>'Cash &amp; runway'!J9-'Cash &amp; runway'!J10-'Cash &amp; runway'!J6</f>
        <v>-20.149999999999977</v>
      </c>
      <c r="K5" s="7">
        <f>'Cash &amp; runway'!K9-'Cash &amp; runway'!K10-'Cash &amp; runway'!K6</f>
        <v>-20.149999999999977</v>
      </c>
      <c r="L5" s="7">
        <f>'Cash &amp; runway'!L9-'Cash &amp; runway'!L10-'Cash &amp; runway'!L6</f>
        <v>-20.149999999999977</v>
      </c>
      <c r="M5" s="7">
        <f>'Cash &amp; runway'!M9-'Cash &amp; runway'!M10-'Cash &amp; runway'!M6</f>
        <v>-20.149999999999977</v>
      </c>
      <c r="N5" s="7">
        <f>'Cash &amp; runway'!N9-'Cash &amp; runway'!N10-'Cash &amp; runway'!N6</f>
        <v>-20.149999999999977</v>
      </c>
      <c r="O5" s="7">
        <f>'Cash &amp; runway'!O9-'Cash &amp; runway'!O10-'Cash &amp; runway'!O6</f>
        <v>-20.149999999999977</v>
      </c>
      <c r="P5" s="7">
        <f>'Cash &amp; runway'!P9-'Cash &amp; runway'!P10-'Cash &amp; runway'!P6</f>
        <v>-20.149999999999977</v>
      </c>
      <c r="Q5" s="7">
        <f>'Cash &amp; runway'!Q9-'Cash &amp; runway'!Q10-'Cash &amp; runway'!Q6</f>
        <v>-20.149999999999977</v>
      </c>
      <c r="R5" s="7">
        <f>'Cash &amp; runway'!R9-'Cash &amp; runway'!R10-'Cash &amp; runway'!R6</f>
        <v>-20.149999999999977</v>
      </c>
      <c r="S5" s="7">
        <f>'Cash &amp; runway'!S9-'Cash &amp; runway'!S10-'Cash &amp; runway'!S6</f>
        <v>-20.149999999999977</v>
      </c>
      <c r="T5" s="7">
        <f>'Cash &amp; runway'!T9-'Cash &amp; runway'!T10-'Cash &amp; runway'!T6</f>
        <v>-20.149999999999977</v>
      </c>
      <c r="U5" s="7">
        <f>'Cash &amp; runway'!U9-'Cash &amp; runway'!U10-'Cash &amp; runway'!U6</f>
        <v>-20.149999999999977</v>
      </c>
      <c r="V5" s="7">
        <f>'Cash &amp; runway'!V9-'Cash &amp; runway'!V10-'Cash &amp; runway'!V6</f>
        <v>-20.149999999999977</v>
      </c>
      <c r="W5" s="7">
        <f>'Cash &amp; runway'!W9-'Cash &amp; runway'!W10-'Cash &amp; runway'!W6</f>
        <v>-20.149999999999977</v>
      </c>
      <c r="X5" s="7">
        <f>'Cash &amp; runway'!X9-'Cash &amp; runway'!X10-'Cash &amp; runway'!X6</f>
        <v>-20.149999999999977</v>
      </c>
      <c r="Y5" s="7">
        <f>'Cash &amp; runway'!Y9-'Cash &amp; runway'!Y10-'Cash &amp; runway'!Y6</f>
        <v>-20.149999999999977</v>
      </c>
    </row>
    <row r="6">
      <c r="A6" t="inlineStr" s="8">
        <is>
          <t xml:space="preserve">Founder salary</t>
        </is>
      </c>
      <c r="B6" s="12">
        <f>IF('Model inputs'!B17="","",'Model inputs'!B17)</f>
        <v>2000</v>
      </c>
      <c r="C6" s="12">
        <f>IF('Model inputs'!B17="","",'Model inputs'!B17)</f>
        <v>2000</v>
      </c>
      <c r="D6" s="12">
        <f>IF('Model inputs'!B17="","",'Model inputs'!B17)</f>
        <v>2000</v>
      </c>
      <c r="E6" s="12">
        <f>IF('Model inputs'!B17="","",'Model inputs'!B17)</f>
        <v>2000</v>
      </c>
      <c r="F6" s="12">
        <f>IF('Model inputs'!B17="","",'Model inputs'!B17)</f>
        <v>2000</v>
      </c>
      <c r="G6" s="12">
        <f>IF('Model inputs'!B17="","",'Model inputs'!B17)</f>
        <v>2000</v>
      </c>
      <c r="H6" s="12">
        <f>IF('Model inputs'!B17="","",'Model inputs'!B17)</f>
        <v>2000</v>
      </c>
      <c r="I6" s="12">
        <f>IF('Model inputs'!B17="","",'Model inputs'!B17)</f>
        <v>2000</v>
      </c>
      <c r="J6" s="12">
        <f>IF('Model inputs'!B17="","",'Model inputs'!B17)</f>
        <v>2000</v>
      </c>
      <c r="K6" s="12">
        <f>IF('Model inputs'!B17="","",'Model inputs'!B17)</f>
        <v>2000</v>
      </c>
      <c r="L6" s="12">
        <f>IF('Model inputs'!B17="","",'Model inputs'!B17)</f>
        <v>2000</v>
      </c>
      <c r="M6" s="12">
        <f>IF('Model inputs'!B17="","",'Model inputs'!B17)</f>
        <v>2000</v>
      </c>
      <c r="N6" s="12">
        <f>IF('Model inputs'!B17="","",'Model inputs'!B17)</f>
        <v>2000</v>
      </c>
      <c r="O6" s="12">
        <f>IF('Model inputs'!B17="","",'Model inputs'!B17)</f>
        <v>2000</v>
      </c>
      <c r="P6" s="12">
        <f>IF('Model inputs'!B17="","",'Model inputs'!B17)</f>
        <v>2000</v>
      </c>
      <c r="Q6" s="12">
        <f>IF('Model inputs'!B17="","",'Model inputs'!B17)</f>
        <v>2000</v>
      </c>
      <c r="R6" s="12">
        <f>IF('Model inputs'!B17="","",'Model inputs'!B17)</f>
        <v>2000</v>
      </c>
      <c r="S6" s="12">
        <f>IF('Model inputs'!B17="","",'Model inputs'!B17)</f>
        <v>2000</v>
      </c>
      <c r="T6" s="12">
        <f>IF('Model inputs'!B17="","",'Model inputs'!B17)</f>
        <v>2000</v>
      </c>
      <c r="U6" s="12">
        <f>IF('Model inputs'!B17="","",'Model inputs'!B17)</f>
        <v>2000</v>
      </c>
      <c r="V6" s="12">
        <f>IF('Model inputs'!B17="","",'Model inputs'!B17)</f>
        <v>2000</v>
      </c>
      <c r="W6" s="12">
        <f>IF('Model inputs'!B17="","",'Model inputs'!B17)</f>
        <v>2000</v>
      </c>
      <c r="X6" s="12">
        <f>IF('Model inputs'!B17="","",'Model inputs'!B17)</f>
        <v>2000</v>
      </c>
      <c r="Y6" s="12">
        <f>IF('Model inputs'!B17="","",'Model inputs'!B17)</f>
        <v>2000</v>
      </c>
    </row>
    <row r="7">
      <c r="A7" t="inlineStr" s="10">
        <is>
          <t xml:space="preserve">Net cash flow with salary</t>
        </is>
      </c>
      <c r="B7" s="11">
        <f>'Cash with $2,000 founder salary'!B5-'Cash with $2,000 founder salary'!B6</f>
        <v>-2170</v>
      </c>
      <c r="C7" s="11">
        <f>'Cash with $2,000 founder salary'!C5-'Cash with $2,000 founder salary'!C6</f>
        <v>-2267.5</v>
      </c>
      <c r="D7" s="11">
        <f>'Cash with $2,000 founder salary'!D5-'Cash with $2,000 founder salary'!D6</f>
        <v>-2020.15</v>
      </c>
      <c r="E7" s="11">
        <f>'Cash with $2,000 founder salary'!E5-'Cash with $2,000 founder salary'!E6</f>
        <v>-2020.15</v>
      </c>
      <c r="F7" s="11">
        <f>'Cash with $2,000 founder salary'!F5-'Cash with $2,000 founder salary'!F6</f>
        <v>-2020.15</v>
      </c>
      <c r="G7" s="11">
        <f>'Cash with $2,000 founder salary'!G5-'Cash with $2,000 founder salary'!G6</f>
        <v>-2020.15</v>
      </c>
      <c r="H7" s="11">
        <f>'Cash with $2,000 founder salary'!H5-'Cash with $2,000 founder salary'!H6</f>
        <v>-2020.15</v>
      </c>
      <c r="I7" s="11">
        <f>'Cash with $2,000 founder salary'!I5-'Cash with $2,000 founder salary'!I6</f>
        <v>-2020.15</v>
      </c>
      <c r="J7" s="11">
        <f>'Cash with $2,000 founder salary'!J5-'Cash with $2,000 founder salary'!J6</f>
        <v>-2020.15</v>
      </c>
      <c r="K7" s="11">
        <f>'Cash with $2,000 founder salary'!K5-'Cash with $2,000 founder salary'!K6</f>
        <v>-2020.15</v>
      </c>
      <c r="L7" s="11">
        <f>'Cash with $2,000 founder salary'!L5-'Cash with $2,000 founder salary'!L6</f>
        <v>-2020.15</v>
      </c>
      <c r="M7" s="11">
        <f>'Cash with $2,000 founder salary'!M5-'Cash with $2,000 founder salary'!M6</f>
        <v>-2020.15</v>
      </c>
      <c r="N7" s="11">
        <f>'Cash with $2,000 founder salary'!N5-'Cash with $2,000 founder salary'!N6</f>
        <v>-2020.15</v>
      </c>
      <c r="O7" s="11">
        <f>'Cash with $2,000 founder salary'!O5-'Cash with $2,000 founder salary'!O6</f>
        <v>-2020.15</v>
      </c>
      <c r="P7" s="11">
        <f>'Cash with $2,000 founder salary'!P5-'Cash with $2,000 founder salary'!P6</f>
        <v>-2020.15</v>
      </c>
      <c r="Q7" s="11">
        <f>'Cash with $2,000 founder salary'!Q5-'Cash with $2,000 founder salary'!Q6</f>
        <v>-2020.15</v>
      </c>
      <c r="R7" s="11">
        <f>'Cash with $2,000 founder salary'!R5-'Cash with $2,000 founder salary'!R6</f>
        <v>-2020.15</v>
      </c>
      <c r="S7" s="11">
        <f>'Cash with $2,000 founder salary'!S5-'Cash with $2,000 founder salary'!S6</f>
        <v>-2020.15</v>
      </c>
      <c r="T7" s="11">
        <f>'Cash with $2,000 founder salary'!T5-'Cash with $2,000 founder salary'!T6</f>
        <v>-2020.15</v>
      </c>
      <c r="U7" s="11">
        <f>'Cash with $2,000 founder salary'!U5-'Cash with $2,000 founder salary'!U6</f>
        <v>-2020.15</v>
      </c>
      <c r="V7" s="11">
        <f>'Cash with $2,000 founder salary'!V5-'Cash with $2,000 founder salary'!V6</f>
        <v>-2020.15</v>
      </c>
      <c r="W7" s="11">
        <f>'Cash with $2,000 founder salary'!W5-'Cash with $2,000 founder salary'!W6</f>
        <v>-2020.15</v>
      </c>
      <c r="X7" s="11">
        <f>'Cash with $2,000 founder salary'!X5-'Cash with $2,000 founder salary'!X6</f>
        <v>-2020.15</v>
      </c>
      <c r="Y7" s="11">
        <f>'Cash with $2,000 founder salary'!Y5-'Cash with $2,000 founder salary'!Y6</f>
        <v>-2020.15</v>
      </c>
    </row>
    <row r="8">
      <c r="A8" t="inlineStr" s="10">
        <is>
          <t xml:space="preserve">Cash balance with salary</t>
        </is>
      </c>
      <c r="B8" s="11">
        <f>'Model inputs'!C8+'Cash with $2,000 founder salary'!B7</f>
        <v>830</v>
      </c>
      <c r="C8" s="11">
        <f>'Cash with $2,000 founder salary'!B8+'Cash with $2,000 founder salary'!C7</f>
        <v>-1437.5</v>
      </c>
      <c r="D8" s="11">
        <f>'Cash with $2,000 founder salary'!C8+'Cash with $2,000 founder salary'!D7</f>
        <v>-3457.65</v>
      </c>
      <c r="E8" s="11">
        <f>'Cash with $2,000 founder salary'!D8+'Cash with $2,000 founder salary'!E7</f>
        <v>-5477.8</v>
      </c>
      <c r="F8" s="11">
        <f>'Cash with $2,000 founder salary'!E8+'Cash with $2,000 founder salary'!F7</f>
        <v>-7497.950000000001</v>
      </c>
      <c r="G8" s="11">
        <f>'Cash with $2,000 founder salary'!F8+'Cash with $2,000 founder salary'!G7</f>
        <v>-9518.1</v>
      </c>
      <c r="H8" s="11">
        <f>'Cash with $2,000 founder salary'!G8+'Cash with $2,000 founder salary'!H7</f>
        <v>-11538.25</v>
      </c>
      <c r="I8" s="11">
        <f>'Cash with $2,000 founder salary'!H8+'Cash with $2,000 founder salary'!I7</f>
        <v>-13558.4</v>
      </c>
      <c r="J8" s="11">
        <f>'Cash with $2,000 founder salary'!I8+'Cash with $2,000 founder salary'!J7</f>
        <v>-15578.55</v>
      </c>
      <c r="K8" s="11">
        <f>'Cash with $2,000 founder salary'!J8+'Cash with $2,000 founder salary'!K7</f>
        <v>-17598.7</v>
      </c>
      <c r="L8" s="11">
        <f>'Cash with $2,000 founder salary'!K8+'Cash with $2,000 founder salary'!L7</f>
        <v>-19618.850000000002</v>
      </c>
      <c r="M8" s="11">
        <f>'Cash with $2,000 founder salary'!L8+'Cash with $2,000 founder salary'!M7</f>
        <v>-21639.000000000004</v>
      </c>
      <c r="N8" s="11">
        <f>'Cash with $2,000 founder salary'!M8+'Cash with $2,000 founder salary'!N7</f>
        <v>-23659.150000000005</v>
      </c>
      <c r="O8" s="11">
        <f>'Cash with $2,000 founder salary'!N8+'Cash with $2,000 founder salary'!O7</f>
        <v>-25679.300000000007</v>
      </c>
      <c r="P8" s="11">
        <f>'Cash with $2,000 founder salary'!O8+'Cash with $2,000 founder salary'!P7</f>
        <v>-27699.450000000008</v>
      </c>
      <c r="Q8" s="11">
        <f>'Cash with $2,000 founder salary'!P8+'Cash with $2,000 founder salary'!Q7</f>
        <v>-29719.60000000001</v>
      </c>
      <c r="R8" s="11">
        <f>'Cash with $2,000 founder salary'!Q8+'Cash with $2,000 founder salary'!R7</f>
        <v>-31739.75000000001</v>
      </c>
      <c r="S8" s="11">
        <f>'Cash with $2,000 founder salary'!R8+'Cash with $2,000 founder salary'!S7</f>
        <v>-33759.90000000001</v>
      </c>
      <c r="T8" s="11">
        <f>'Cash with $2,000 founder salary'!S8+'Cash with $2,000 founder salary'!T7</f>
        <v>-35780.05000000001</v>
      </c>
      <c r="U8" s="11">
        <f>'Cash with $2,000 founder salary'!T8+'Cash with $2,000 founder salary'!U7</f>
        <v>-37800.20000000001</v>
      </c>
      <c r="V8" s="11">
        <f>'Cash with $2,000 founder salary'!U8+'Cash with $2,000 founder salary'!V7</f>
        <v>-39820.35000000001</v>
      </c>
      <c r="W8" s="11">
        <f>'Cash with $2,000 founder salary'!V8+'Cash with $2,000 founder salary'!W7</f>
        <v>-41840.500000000015</v>
      </c>
      <c r="X8" s="11">
        <f>'Cash with $2,000 founder salary'!W8+'Cash with $2,000 founder salary'!X7</f>
        <v>-43860.650000000016</v>
      </c>
      <c r="Y8" s="11">
        <f>'Cash with $2,000 founder salary'!X8+'Cash with $2,000 founder salary'!Y7</f>
        <v>-45880.80000000002</v>
      </c>
    </row>
    <row r="9">
      <c r="A9" t="inlineStr" s="6">
        <is>
          <t xml:space="preserve">Runway with salary (months)</t>
        </is>
      </c>
      <c r="B9" s="13">
        <f>IF(IF(IF(ISERROR('Cash with $2,000 founder salary'!B8&lt;=0),'Cash with $2,000 founder salary'!B8&lt;=0,IF('Cash with $2,000 founder salary'!B8="","",'Cash with $2,000 founder salary'!B8&lt;=0))="",FALSE,IF(ISERROR('Cash with $2,000 founder salary'!B8&lt;=0),'Cash with $2,000 founder salary'!B8&lt;=0,IF('Cash with $2,000 founder salary'!B8="","",'Cash with $2,000 founder salary'!B8&lt;=0))),0,IF(IF(IF(ISERROR('Cash with $2,000 founder salary'!B7&gt;=0),'Cash with $2,000 founder salary'!B7&gt;=0,IF('Cash with $2,000 founder salary'!B7="","",'Cash with $2,000 founder salary'!B7&gt;=0))="",FALSE,IF(ISERROR('Cash with $2,000 founder salary'!B7&gt;=0),'Cash with $2,000 founder salary'!B7&gt;=0,IF('Cash with $2,000 founder salary'!B7="","",'Cash with $2,000 founder salary'!B7&gt;=0))),"",'Cash with $2,000 founder salary'!B8/-'Cash with $2,000 founder salary'!B7))</f>
        <v>0.3824884792626728</v>
      </c>
      <c r="C9" s="13">
        <f>IF(IF(IF(ISERROR('Cash with $2,000 founder salary'!C8&lt;=0),'Cash with $2,000 founder salary'!C8&lt;=0,IF('Cash with $2,000 founder salary'!C8="","",'Cash with $2,000 founder salary'!C8&lt;=0))="",FALSE,IF(ISERROR('Cash with $2,000 founder salary'!C8&lt;=0),'Cash with $2,000 founder salary'!C8&lt;=0,IF('Cash with $2,000 founder salary'!C8="","",'Cash with $2,000 founder salary'!C8&lt;=0))),0,IF(IF(IF(ISERROR('Cash with $2,000 founder salary'!C7&gt;=0),'Cash with $2,000 founder salary'!C7&gt;=0,IF('Cash with $2,000 founder salary'!C7="","",'Cash with $2,000 founder salary'!C7&gt;=0))="",FALSE,IF(ISERROR('Cash with $2,000 founder salary'!C7&gt;=0),'Cash with $2,000 founder salary'!C7&gt;=0,IF('Cash with $2,000 founder salary'!C7="","",'Cash with $2,000 founder salary'!C7&gt;=0))),"",'Cash with $2,000 founder salary'!C8/-'Cash with $2,000 founder salary'!C7))</f>
        <v>0</v>
      </c>
      <c r="D9" s="13">
        <f>IF(IF(IF(ISERROR('Cash with $2,000 founder salary'!D8&lt;=0),'Cash with $2,000 founder salary'!D8&lt;=0,IF('Cash with $2,000 founder salary'!D8="","",'Cash with $2,000 founder salary'!D8&lt;=0))="",FALSE,IF(ISERROR('Cash with $2,000 founder salary'!D8&lt;=0),'Cash with $2,000 founder salary'!D8&lt;=0,IF('Cash with $2,000 founder salary'!D8="","",'Cash with $2,000 founder salary'!D8&lt;=0))),0,IF(IF(IF(ISERROR('Cash with $2,000 founder salary'!D7&gt;=0),'Cash with $2,000 founder salary'!D7&gt;=0,IF('Cash with $2,000 founder salary'!D7="","",'Cash with $2,000 founder salary'!D7&gt;=0))="",FALSE,IF(ISERROR('Cash with $2,000 founder salary'!D7&gt;=0),'Cash with $2,000 founder salary'!D7&gt;=0,IF('Cash with $2,000 founder salary'!D7="","",'Cash with $2,000 founder salary'!D7&gt;=0))),"",'Cash with $2,000 founder salary'!D8/-'Cash with $2,000 founder salary'!D7))</f>
        <v>0</v>
      </c>
      <c r="E9" s="13">
        <f>IF(IF(IF(ISERROR('Cash with $2,000 founder salary'!E8&lt;=0),'Cash with $2,000 founder salary'!E8&lt;=0,IF('Cash with $2,000 founder salary'!E8="","",'Cash with $2,000 founder salary'!E8&lt;=0))="",FALSE,IF(ISERROR('Cash with $2,000 founder salary'!E8&lt;=0),'Cash with $2,000 founder salary'!E8&lt;=0,IF('Cash with $2,000 founder salary'!E8="","",'Cash with $2,000 founder salary'!E8&lt;=0))),0,IF(IF(IF(ISERROR('Cash with $2,000 founder salary'!E7&gt;=0),'Cash with $2,000 founder salary'!E7&gt;=0,IF('Cash with $2,000 founder salary'!E7="","",'Cash with $2,000 founder salary'!E7&gt;=0))="",FALSE,IF(ISERROR('Cash with $2,000 founder salary'!E7&gt;=0),'Cash with $2,000 founder salary'!E7&gt;=0,IF('Cash with $2,000 founder salary'!E7="","",'Cash with $2,000 founder salary'!E7&gt;=0))),"",'Cash with $2,000 founder salary'!E8/-'Cash with $2,000 founder salary'!E7))</f>
        <v>0</v>
      </c>
      <c r="F9" s="13">
        <f>IF(IF(IF(ISERROR('Cash with $2,000 founder salary'!F8&lt;=0),'Cash with $2,000 founder salary'!F8&lt;=0,IF('Cash with $2,000 founder salary'!F8="","",'Cash with $2,000 founder salary'!F8&lt;=0))="",FALSE,IF(ISERROR('Cash with $2,000 founder salary'!F8&lt;=0),'Cash with $2,000 founder salary'!F8&lt;=0,IF('Cash with $2,000 founder salary'!F8="","",'Cash with $2,000 founder salary'!F8&lt;=0))),0,IF(IF(IF(ISERROR('Cash with $2,000 founder salary'!F7&gt;=0),'Cash with $2,000 founder salary'!F7&gt;=0,IF('Cash with $2,000 founder salary'!F7="","",'Cash with $2,000 founder salary'!F7&gt;=0))="",FALSE,IF(ISERROR('Cash with $2,000 founder salary'!F7&gt;=0),'Cash with $2,000 founder salary'!F7&gt;=0,IF('Cash with $2,000 founder salary'!F7="","",'Cash with $2,000 founder salary'!F7&gt;=0))),"",'Cash with $2,000 founder salary'!F8/-'Cash with $2,000 founder salary'!F7))</f>
        <v>0</v>
      </c>
      <c r="G9" s="13">
        <f>IF(IF(IF(ISERROR('Cash with $2,000 founder salary'!G8&lt;=0),'Cash with $2,000 founder salary'!G8&lt;=0,IF('Cash with $2,000 founder salary'!G8="","",'Cash with $2,000 founder salary'!G8&lt;=0))="",FALSE,IF(ISERROR('Cash with $2,000 founder salary'!G8&lt;=0),'Cash with $2,000 founder salary'!G8&lt;=0,IF('Cash with $2,000 founder salary'!G8="","",'Cash with $2,000 founder salary'!G8&lt;=0))),0,IF(IF(IF(ISERROR('Cash with $2,000 founder salary'!G7&gt;=0),'Cash with $2,000 founder salary'!G7&gt;=0,IF('Cash with $2,000 founder salary'!G7="","",'Cash with $2,000 founder salary'!G7&gt;=0))="",FALSE,IF(ISERROR('Cash with $2,000 founder salary'!G7&gt;=0),'Cash with $2,000 founder salary'!G7&gt;=0,IF('Cash with $2,000 founder salary'!G7="","",'Cash with $2,000 founder salary'!G7&gt;=0))),"",'Cash with $2,000 founder salary'!G8/-'Cash with $2,000 founder salary'!G7))</f>
        <v>0</v>
      </c>
      <c r="H9" s="13">
        <f>IF(IF(IF(ISERROR('Cash with $2,000 founder salary'!H8&lt;=0),'Cash with $2,000 founder salary'!H8&lt;=0,IF('Cash with $2,000 founder salary'!H8="","",'Cash with $2,000 founder salary'!H8&lt;=0))="",FALSE,IF(ISERROR('Cash with $2,000 founder salary'!H8&lt;=0),'Cash with $2,000 founder salary'!H8&lt;=0,IF('Cash with $2,000 founder salary'!H8="","",'Cash with $2,000 founder salary'!H8&lt;=0))),0,IF(IF(IF(ISERROR('Cash with $2,000 founder salary'!H7&gt;=0),'Cash with $2,000 founder salary'!H7&gt;=0,IF('Cash with $2,000 founder salary'!H7="","",'Cash with $2,000 founder salary'!H7&gt;=0))="",FALSE,IF(ISERROR('Cash with $2,000 founder salary'!H7&gt;=0),'Cash with $2,000 founder salary'!H7&gt;=0,IF('Cash with $2,000 founder salary'!H7="","",'Cash with $2,000 founder salary'!H7&gt;=0))),"",'Cash with $2,000 founder salary'!H8/-'Cash with $2,000 founder salary'!H7))</f>
        <v>0</v>
      </c>
      <c r="I9" s="13">
        <f>IF(IF(IF(ISERROR('Cash with $2,000 founder salary'!I8&lt;=0),'Cash with $2,000 founder salary'!I8&lt;=0,IF('Cash with $2,000 founder salary'!I8="","",'Cash with $2,000 founder salary'!I8&lt;=0))="",FALSE,IF(ISERROR('Cash with $2,000 founder salary'!I8&lt;=0),'Cash with $2,000 founder salary'!I8&lt;=0,IF('Cash with $2,000 founder salary'!I8="","",'Cash with $2,000 founder salary'!I8&lt;=0))),0,IF(IF(IF(ISERROR('Cash with $2,000 founder salary'!I7&gt;=0),'Cash with $2,000 founder salary'!I7&gt;=0,IF('Cash with $2,000 founder salary'!I7="","",'Cash with $2,000 founder salary'!I7&gt;=0))="",FALSE,IF(ISERROR('Cash with $2,000 founder salary'!I7&gt;=0),'Cash with $2,000 founder salary'!I7&gt;=0,IF('Cash with $2,000 founder salary'!I7="","",'Cash with $2,000 founder salary'!I7&gt;=0))),"",'Cash with $2,000 founder salary'!I8/-'Cash with $2,000 founder salary'!I7))</f>
        <v>0</v>
      </c>
      <c r="J9" s="13">
        <f>IF(IF(IF(ISERROR('Cash with $2,000 founder salary'!J8&lt;=0),'Cash with $2,000 founder salary'!J8&lt;=0,IF('Cash with $2,000 founder salary'!J8="","",'Cash with $2,000 founder salary'!J8&lt;=0))="",FALSE,IF(ISERROR('Cash with $2,000 founder salary'!J8&lt;=0),'Cash with $2,000 founder salary'!J8&lt;=0,IF('Cash with $2,000 founder salary'!J8="","",'Cash with $2,000 founder salary'!J8&lt;=0))),0,IF(IF(IF(ISERROR('Cash with $2,000 founder salary'!J7&gt;=0),'Cash with $2,000 founder salary'!J7&gt;=0,IF('Cash with $2,000 founder salary'!J7="","",'Cash with $2,000 founder salary'!J7&gt;=0))="",FALSE,IF(ISERROR('Cash with $2,000 founder salary'!J7&gt;=0),'Cash with $2,000 founder salary'!J7&gt;=0,IF('Cash with $2,000 founder salary'!J7="","",'Cash with $2,000 founder salary'!J7&gt;=0))),"",'Cash with $2,000 founder salary'!J8/-'Cash with $2,000 founder salary'!J7))</f>
        <v>0</v>
      </c>
      <c r="K9" s="13">
        <f>IF(IF(IF(ISERROR('Cash with $2,000 founder salary'!K8&lt;=0),'Cash with $2,000 founder salary'!K8&lt;=0,IF('Cash with $2,000 founder salary'!K8="","",'Cash with $2,000 founder salary'!K8&lt;=0))="",FALSE,IF(ISERROR('Cash with $2,000 founder salary'!K8&lt;=0),'Cash with $2,000 founder salary'!K8&lt;=0,IF('Cash with $2,000 founder salary'!K8="","",'Cash with $2,000 founder salary'!K8&lt;=0))),0,IF(IF(IF(ISERROR('Cash with $2,000 founder salary'!K7&gt;=0),'Cash with $2,000 founder salary'!K7&gt;=0,IF('Cash with $2,000 founder salary'!K7="","",'Cash with $2,000 founder salary'!K7&gt;=0))="",FALSE,IF(ISERROR('Cash with $2,000 founder salary'!K7&gt;=0),'Cash with $2,000 founder salary'!K7&gt;=0,IF('Cash with $2,000 founder salary'!K7="","",'Cash with $2,000 founder salary'!K7&gt;=0))),"",'Cash with $2,000 founder salary'!K8/-'Cash with $2,000 founder salary'!K7))</f>
        <v>0</v>
      </c>
      <c r="L9" s="13">
        <f>IF(IF(IF(ISERROR('Cash with $2,000 founder salary'!L8&lt;=0),'Cash with $2,000 founder salary'!L8&lt;=0,IF('Cash with $2,000 founder salary'!L8="","",'Cash with $2,000 founder salary'!L8&lt;=0))="",FALSE,IF(ISERROR('Cash with $2,000 founder salary'!L8&lt;=0),'Cash with $2,000 founder salary'!L8&lt;=0,IF('Cash with $2,000 founder salary'!L8="","",'Cash with $2,000 founder salary'!L8&lt;=0))),0,IF(IF(IF(ISERROR('Cash with $2,000 founder salary'!L7&gt;=0),'Cash with $2,000 founder salary'!L7&gt;=0,IF('Cash with $2,000 founder salary'!L7="","",'Cash with $2,000 founder salary'!L7&gt;=0))="",FALSE,IF(ISERROR('Cash with $2,000 founder salary'!L7&gt;=0),'Cash with $2,000 founder salary'!L7&gt;=0,IF('Cash with $2,000 founder salary'!L7="","",'Cash with $2,000 founder salary'!L7&gt;=0))),"",'Cash with $2,000 founder salary'!L8/-'Cash with $2,000 founder salary'!L7))</f>
        <v>0</v>
      </c>
      <c r="M9" s="13">
        <f>IF(IF(IF(ISERROR('Cash with $2,000 founder salary'!M8&lt;=0),'Cash with $2,000 founder salary'!M8&lt;=0,IF('Cash with $2,000 founder salary'!M8="","",'Cash with $2,000 founder salary'!M8&lt;=0))="",FALSE,IF(ISERROR('Cash with $2,000 founder salary'!M8&lt;=0),'Cash with $2,000 founder salary'!M8&lt;=0,IF('Cash with $2,000 founder salary'!M8="","",'Cash with $2,000 founder salary'!M8&lt;=0))),0,IF(IF(IF(ISERROR('Cash with $2,000 founder salary'!M7&gt;=0),'Cash with $2,000 founder salary'!M7&gt;=0,IF('Cash with $2,000 founder salary'!M7="","",'Cash with $2,000 founder salary'!M7&gt;=0))="",FALSE,IF(ISERROR('Cash with $2,000 founder salary'!M7&gt;=0),'Cash with $2,000 founder salary'!M7&gt;=0,IF('Cash with $2,000 founder salary'!M7="","",'Cash with $2,000 founder salary'!M7&gt;=0))),"",'Cash with $2,000 founder salary'!M8/-'Cash with $2,000 founder salary'!M7))</f>
        <v>0</v>
      </c>
      <c r="N9" s="13">
        <f>IF(IF(IF(ISERROR('Cash with $2,000 founder salary'!N8&lt;=0),'Cash with $2,000 founder salary'!N8&lt;=0,IF('Cash with $2,000 founder salary'!N8="","",'Cash with $2,000 founder salary'!N8&lt;=0))="",FALSE,IF(ISERROR('Cash with $2,000 founder salary'!N8&lt;=0),'Cash with $2,000 founder salary'!N8&lt;=0,IF('Cash with $2,000 founder salary'!N8="","",'Cash with $2,000 founder salary'!N8&lt;=0))),0,IF(IF(IF(ISERROR('Cash with $2,000 founder salary'!N7&gt;=0),'Cash with $2,000 founder salary'!N7&gt;=0,IF('Cash with $2,000 founder salary'!N7="","",'Cash with $2,000 founder salary'!N7&gt;=0))="",FALSE,IF(ISERROR('Cash with $2,000 founder salary'!N7&gt;=0),'Cash with $2,000 founder salary'!N7&gt;=0,IF('Cash with $2,000 founder salary'!N7="","",'Cash with $2,000 founder salary'!N7&gt;=0))),"",'Cash with $2,000 founder salary'!N8/-'Cash with $2,000 founder salary'!N7))</f>
        <v>0</v>
      </c>
      <c r="O9" s="13">
        <f>IF(IF(IF(ISERROR('Cash with $2,000 founder salary'!O8&lt;=0),'Cash with $2,000 founder salary'!O8&lt;=0,IF('Cash with $2,000 founder salary'!O8="","",'Cash with $2,000 founder salary'!O8&lt;=0))="",FALSE,IF(ISERROR('Cash with $2,000 founder salary'!O8&lt;=0),'Cash with $2,000 founder salary'!O8&lt;=0,IF('Cash with $2,000 founder salary'!O8="","",'Cash with $2,000 founder salary'!O8&lt;=0))),0,IF(IF(IF(ISERROR('Cash with $2,000 founder salary'!O7&gt;=0),'Cash with $2,000 founder salary'!O7&gt;=0,IF('Cash with $2,000 founder salary'!O7="","",'Cash with $2,000 founder salary'!O7&gt;=0))="",FALSE,IF(ISERROR('Cash with $2,000 founder salary'!O7&gt;=0),'Cash with $2,000 founder salary'!O7&gt;=0,IF('Cash with $2,000 founder salary'!O7="","",'Cash with $2,000 founder salary'!O7&gt;=0))),"",'Cash with $2,000 founder salary'!O8/-'Cash with $2,000 founder salary'!O7))</f>
        <v>0</v>
      </c>
      <c r="P9" s="13">
        <f>IF(IF(IF(ISERROR('Cash with $2,000 founder salary'!P8&lt;=0),'Cash with $2,000 founder salary'!P8&lt;=0,IF('Cash with $2,000 founder salary'!P8="","",'Cash with $2,000 founder salary'!P8&lt;=0))="",FALSE,IF(ISERROR('Cash with $2,000 founder salary'!P8&lt;=0),'Cash with $2,000 founder salary'!P8&lt;=0,IF('Cash with $2,000 founder salary'!P8="","",'Cash with $2,000 founder salary'!P8&lt;=0))),0,IF(IF(IF(ISERROR('Cash with $2,000 founder salary'!P7&gt;=0),'Cash with $2,000 founder salary'!P7&gt;=0,IF('Cash with $2,000 founder salary'!P7="","",'Cash with $2,000 founder salary'!P7&gt;=0))="",FALSE,IF(ISERROR('Cash with $2,000 founder salary'!P7&gt;=0),'Cash with $2,000 founder salary'!P7&gt;=0,IF('Cash with $2,000 founder salary'!P7="","",'Cash with $2,000 founder salary'!P7&gt;=0))),"",'Cash with $2,000 founder salary'!P8/-'Cash with $2,000 founder salary'!P7))</f>
        <v>0</v>
      </c>
      <c r="Q9" s="13">
        <f>IF(IF(IF(ISERROR('Cash with $2,000 founder salary'!Q8&lt;=0),'Cash with $2,000 founder salary'!Q8&lt;=0,IF('Cash with $2,000 founder salary'!Q8="","",'Cash with $2,000 founder salary'!Q8&lt;=0))="",FALSE,IF(ISERROR('Cash with $2,000 founder salary'!Q8&lt;=0),'Cash with $2,000 founder salary'!Q8&lt;=0,IF('Cash with $2,000 founder salary'!Q8="","",'Cash with $2,000 founder salary'!Q8&lt;=0))),0,IF(IF(IF(ISERROR('Cash with $2,000 founder salary'!Q7&gt;=0),'Cash with $2,000 founder salary'!Q7&gt;=0,IF('Cash with $2,000 founder salary'!Q7="","",'Cash with $2,000 founder salary'!Q7&gt;=0))="",FALSE,IF(ISERROR('Cash with $2,000 founder salary'!Q7&gt;=0),'Cash with $2,000 founder salary'!Q7&gt;=0,IF('Cash with $2,000 founder salary'!Q7="","",'Cash with $2,000 founder salary'!Q7&gt;=0))),"",'Cash with $2,000 founder salary'!Q8/-'Cash with $2,000 founder salary'!Q7))</f>
        <v>0</v>
      </c>
      <c r="R9" s="13">
        <f>IF(IF(IF(ISERROR('Cash with $2,000 founder salary'!R8&lt;=0),'Cash with $2,000 founder salary'!R8&lt;=0,IF('Cash with $2,000 founder salary'!R8="","",'Cash with $2,000 founder salary'!R8&lt;=0))="",FALSE,IF(ISERROR('Cash with $2,000 founder salary'!R8&lt;=0),'Cash with $2,000 founder salary'!R8&lt;=0,IF('Cash with $2,000 founder salary'!R8="","",'Cash with $2,000 founder salary'!R8&lt;=0))),0,IF(IF(IF(ISERROR('Cash with $2,000 founder salary'!R7&gt;=0),'Cash with $2,000 founder salary'!R7&gt;=0,IF('Cash with $2,000 founder salary'!R7="","",'Cash with $2,000 founder salary'!R7&gt;=0))="",FALSE,IF(ISERROR('Cash with $2,000 founder salary'!R7&gt;=0),'Cash with $2,000 founder salary'!R7&gt;=0,IF('Cash with $2,000 founder salary'!R7="","",'Cash with $2,000 founder salary'!R7&gt;=0))),"",'Cash with $2,000 founder salary'!R8/-'Cash with $2,000 founder salary'!R7))</f>
        <v>0</v>
      </c>
      <c r="S9" s="13">
        <f>IF(IF(IF(ISERROR('Cash with $2,000 founder salary'!S8&lt;=0),'Cash with $2,000 founder salary'!S8&lt;=0,IF('Cash with $2,000 founder salary'!S8="","",'Cash with $2,000 founder salary'!S8&lt;=0))="",FALSE,IF(ISERROR('Cash with $2,000 founder salary'!S8&lt;=0),'Cash with $2,000 founder salary'!S8&lt;=0,IF('Cash with $2,000 founder salary'!S8="","",'Cash with $2,000 founder salary'!S8&lt;=0))),0,IF(IF(IF(ISERROR('Cash with $2,000 founder salary'!S7&gt;=0),'Cash with $2,000 founder salary'!S7&gt;=0,IF('Cash with $2,000 founder salary'!S7="","",'Cash with $2,000 founder salary'!S7&gt;=0))="",FALSE,IF(ISERROR('Cash with $2,000 founder salary'!S7&gt;=0),'Cash with $2,000 founder salary'!S7&gt;=0,IF('Cash with $2,000 founder salary'!S7="","",'Cash with $2,000 founder salary'!S7&gt;=0))),"",'Cash with $2,000 founder salary'!S8/-'Cash with $2,000 founder salary'!S7))</f>
        <v>0</v>
      </c>
      <c r="T9" s="13">
        <f>IF(IF(IF(ISERROR('Cash with $2,000 founder salary'!T8&lt;=0),'Cash with $2,000 founder salary'!T8&lt;=0,IF('Cash with $2,000 founder salary'!T8="","",'Cash with $2,000 founder salary'!T8&lt;=0))="",FALSE,IF(ISERROR('Cash with $2,000 founder salary'!T8&lt;=0),'Cash with $2,000 founder salary'!T8&lt;=0,IF('Cash with $2,000 founder salary'!T8="","",'Cash with $2,000 founder salary'!T8&lt;=0))),0,IF(IF(IF(ISERROR('Cash with $2,000 founder salary'!T7&gt;=0),'Cash with $2,000 founder salary'!T7&gt;=0,IF('Cash with $2,000 founder salary'!T7="","",'Cash with $2,000 founder salary'!T7&gt;=0))="",FALSE,IF(ISERROR('Cash with $2,000 founder salary'!T7&gt;=0),'Cash with $2,000 founder salary'!T7&gt;=0,IF('Cash with $2,000 founder salary'!T7="","",'Cash with $2,000 founder salary'!T7&gt;=0))),"",'Cash with $2,000 founder salary'!T8/-'Cash with $2,000 founder salary'!T7))</f>
        <v>0</v>
      </c>
      <c r="U9" s="13">
        <f>IF(IF(IF(ISERROR('Cash with $2,000 founder salary'!U8&lt;=0),'Cash with $2,000 founder salary'!U8&lt;=0,IF('Cash with $2,000 founder salary'!U8="","",'Cash with $2,000 founder salary'!U8&lt;=0))="",FALSE,IF(ISERROR('Cash with $2,000 founder salary'!U8&lt;=0),'Cash with $2,000 founder salary'!U8&lt;=0,IF('Cash with $2,000 founder salary'!U8="","",'Cash with $2,000 founder salary'!U8&lt;=0))),0,IF(IF(IF(ISERROR('Cash with $2,000 founder salary'!U7&gt;=0),'Cash with $2,000 founder salary'!U7&gt;=0,IF('Cash with $2,000 founder salary'!U7="","",'Cash with $2,000 founder salary'!U7&gt;=0))="",FALSE,IF(ISERROR('Cash with $2,000 founder salary'!U7&gt;=0),'Cash with $2,000 founder salary'!U7&gt;=0,IF('Cash with $2,000 founder salary'!U7="","",'Cash with $2,000 founder salary'!U7&gt;=0))),"",'Cash with $2,000 founder salary'!U8/-'Cash with $2,000 founder salary'!U7))</f>
        <v>0</v>
      </c>
      <c r="V9" s="13">
        <f>IF(IF(IF(ISERROR('Cash with $2,000 founder salary'!V8&lt;=0),'Cash with $2,000 founder salary'!V8&lt;=0,IF('Cash with $2,000 founder salary'!V8="","",'Cash with $2,000 founder salary'!V8&lt;=0))="",FALSE,IF(ISERROR('Cash with $2,000 founder salary'!V8&lt;=0),'Cash with $2,000 founder salary'!V8&lt;=0,IF('Cash with $2,000 founder salary'!V8="","",'Cash with $2,000 founder salary'!V8&lt;=0))),0,IF(IF(IF(ISERROR('Cash with $2,000 founder salary'!V7&gt;=0),'Cash with $2,000 founder salary'!V7&gt;=0,IF('Cash with $2,000 founder salary'!V7="","",'Cash with $2,000 founder salary'!V7&gt;=0))="",FALSE,IF(ISERROR('Cash with $2,000 founder salary'!V7&gt;=0),'Cash with $2,000 founder salary'!V7&gt;=0,IF('Cash with $2,000 founder salary'!V7="","",'Cash with $2,000 founder salary'!V7&gt;=0))),"",'Cash with $2,000 founder salary'!V8/-'Cash with $2,000 founder salary'!V7))</f>
        <v>0</v>
      </c>
      <c r="W9" s="13">
        <f>IF(IF(IF(ISERROR('Cash with $2,000 founder salary'!W8&lt;=0),'Cash with $2,000 founder salary'!W8&lt;=0,IF('Cash with $2,000 founder salary'!W8="","",'Cash with $2,000 founder salary'!W8&lt;=0))="",FALSE,IF(ISERROR('Cash with $2,000 founder salary'!W8&lt;=0),'Cash with $2,000 founder salary'!W8&lt;=0,IF('Cash with $2,000 founder salary'!W8="","",'Cash with $2,000 founder salary'!W8&lt;=0))),0,IF(IF(IF(ISERROR('Cash with $2,000 founder salary'!W7&gt;=0),'Cash with $2,000 founder salary'!W7&gt;=0,IF('Cash with $2,000 founder salary'!W7="","",'Cash with $2,000 founder salary'!W7&gt;=0))="",FALSE,IF(ISERROR('Cash with $2,000 founder salary'!W7&gt;=0),'Cash with $2,000 founder salary'!W7&gt;=0,IF('Cash with $2,000 founder salary'!W7="","",'Cash with $2,000 founder salary'!W7&gt;=0))),"",'Cash with $2,000 founder salary'!W8/-'Cash with $2,000 founder salary'!W7))</f>
        <v>0</v>
      </c>
      <c r="X9" s="13">
        <f>IF(IF(IF(ISERROR('Cash with $2,000 founder salary'!X8&lt;=0),'Cash with $2,000 founder salary'!X8&lt;=0,IF('Cash with $2,000 founder salary'!X8="","",'Cash with $2,000 founder salary'!X8&lt;=0))="",FALSE,IF(ISERROR('Cash with $2,000 founder salary'!X8&lt;=0),'Cash with $2,000 founder salary'!X8&lt;=0,IF('Cash with $2,000 founder salary'!X8="","",'Cash with $2,000 founder salary'!X8&lt;=0))),0,IF(IF(IF(ISERROR('Cash with $2,000 founder salary'!X7&gt;=0),'Cash with $2,000 founder salary'!X7&gt;=0,IF('Cash with $2,000 founder salary'!X7="","",'Cash with $2,000 founder salary'!X7&gt;=0))="",FALSE,IF(ISERROR('Cash with $2,000 founder salary'!X7&gt;=0),'Cash with $2,000 founder salary'!X7&gt;=0,IF('Cash with $2,000 founder salary'!X7="","",'Cash with $2,000 founder salary'!X7&gt;=0))),"",'Cash with $2,000 founder salary'!X8/-'Cash with $2,000 founder salary'!X7))</f>
        <v>0</v>
      </c>
      <c r="Y9" s="13">
        <f>IF(IF(IF(ISERROR('Cash with $2,000 founder salary'!Y8&lt;=0),'Cash with $2,000 founder salary'!Y8&lt;=0,IF('Cash with $2,000 founder salary'!Y8="","",'Cash with $2,000 founder salary'!Y8&lt;=0))="",FALSE,IF(ISERROR('Cash with $2,000 founder salary'!Y8&lt;=0),'Cash with $2,000 founder salary'!Y8&lt;=0,IF('Cash with $2,000 founder salary'!Y8="","",'Cash with $2,000 founder salary'!Y8&lt;=0))),0,IF(IF(IF(ISERROR('Cash with $2,000 founder salary'!Y7&gt;=0),'Cash with $2,000 founder salary'!Y7&gt;=0,IF('Cash with $2,000 founder salary'!Y7="","",'Cash with $2,000 founder salary'!Y7&gt;=0))="",FALSE,IF(ISERROR('Cash with $2,000 founder salary'!Y7&gt;=0),'Cash with $2,000 founder salary'!Y7&gt;=0,IF('Cash with $2,000 founder salary'!Y7="","",'Cash with $2,000 founder salary'!Y7&gt;=0))),"",'Cash with $2,000 founder salary'!Y8/-'Cash with $2,000 founder salary'!Y7))</f>
        <v>0</v>
      </c>
    </row>
  </sheetData>
  <mergeCells count="1">
    <mergeCell ref="A1:Y1"/>
  </mergeCells>
</worksheet>
</file>

<file path=xl/worksheets/sheet3.xml><?xml version="1.0" encoding="utf-8"?>
<worksheet xmlns="http://schemas.openxmlformats.org/spreadsheetml/2006/main">
  <dimension ref="A1:AB42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4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Value</t>
        </is>
      </c>
      <c r="C5" t="inlineStr" s="5">
        <is>
          <t xml:space="preserve">2026-09</t>
        </is>
      </c>
      <c r="D5" t="inlineStr" s="4">
        <is>
          <t xml:space="preserve">2026-10</t>
        </is>
      </c>
      <c r="E5" t="inlineStr" s="5">
        <is>
          <t xml:space="preserve">2026-11</t>
        </is>
      </c>
      <c r="F5" t="inlineStr" s="5">
        <is>
          <t xml:space="preserve">2026-12</t>
        </is>
      </c>
      <c r="G5" t="inlineStr" s="4">
        <is>
          <t xml:space="preserve">2027-01</t>
        </is>
      </c>
      <c r="H5" t="inlineStr" s="5">
        <is>
          <t xml:space="preserve">2027-02</t>
        </is>
      </c>
      <c r="I5" t="inlineStr" s="5">
        <is>
          <t xml:space="preserve">2027-03</t>
        </is>
      </c>
      <c r="J5" t="inlineStr" s="4">
        <is>
          <t xml:space="preserve">2027-04</t>
        </is>
      </c>
      <c r="K5" t="inlineStr" s="5">
        <is>
          <t xml:space="preserve">2027-05</t>
        </is>
      </c>
      <c r="L5" t="inlineStr" s="5">
        <is>
          <t xml:space="preserve">2027-06</t>
        </is>
      </c>
      <c r="M5" t="inlineStr" s="4">
        <is>
          <t xml:space="preserve">2027-07</t>
        </is>
      </c>
      <c r="N5" t="inlineStr" s="5">
        <is>
          <t xml:space="preserve">2027-08</t>
        </is>
      </c>
      <c r="O5" t="inlineStr" s="5">
        <is>
          <t xml:space="preserve">2027-09</t>
        </is>
      </c>
      <c r="P5" t="inlineStr" s="4">
        <is>
          <t xml:space="preserve">2027-10</t>
        </is>
      </c>
      <c r="Q5" t="inlineStr" s="5">
        <is>
          <t xml:space="preserve">2027-11</t>
        </is>
      </c>
      <c r="R5" t="inlineStr" s="5">
        <is>
          <t xml:space="preserve">2027-12</t>
        </is>
      </c>
      <c r="S5" t="inlineStr" s="4">
        <is>
          <t xml:space="preserve">2028-01</t>
        </is>
      </c>
      <c r="T5" t="inlineStr" s="5">
        <is>
          <t xml:space="preserve">2028-02</t>
        </is>
      </c>
      <c r="U5" t="inlineStr" s="5">
        <is>
          <t xml:space="preserve">2028-03</t>
        </is>
      </c>
      <c r="V5" t="inlineStr" s="4">
        <is>
          <t xml:space="preserve">2028-04</t>
        </is>
      </c>
      <c r="W5" t="inlineStr" s="5">
        <is>
          <t xml:space="preserve">2028-05</t>
        </is>
      </c>
      <c r="X5" t="inlineStr" s="5">
        <is>
          <t xml:space="preserve">2028-06</t>
        </is>
      </c>
      <c r="Y5" t="inlineStr" s="4">
        <is>
          <t xml:space="preserve">2028-07</t>
        </is>
      </c>
      <c r="Z5" t="inlineStr" s="5">
        <is>
          <t xml:space="preserve">2028-08</t>
        </is>
      </c>
      <c r="AA5" t="inlineStr" s="5">
        <is>
          <t xml:space="preserve">2028-09</t>
        </is>
      </c>
      <c r="AB5" t="inlineStr" s="5">
        <is>
          <t xml:space="preserve">2026-08</t>
        </is>
      </c>
    </row>
    <row r="6">
      <c r="A6" t="inlineStr" s="15">
        <is>
          <t xml:space="preserve">All-in cost per verified fix · Cash &amp; runway</t>
        </is>
      </c>
      <c r="B6" s="9">
        <f>0.13</f>
        <v>0.13</v>
      </c>
    </row>
    <row r="7">
      <c r="A7" t="inlineStr" s="15">
        <is>
          <t xml:space="preserve">Cash balance</t>
        </is>
      </c>
      <c r="C7" s="9">
        <f>IF('Model inputs'!B32="","",'Model inputs'!B32)</f>
        <v>3000</v>
      </c>
      <c r="D7" s="9">
        <f>'Model inputs'!C7+'Model inputs'!D19</f>
        <v>2830</v>
      </c>
      <c r="E7" s="9">
        <f>'Model inputs'!D7+'Model inputs'!E19</f>
        <v>2562.5</v>
      </c>
      <c r="F7" s="9">
        <f>'Model inputs'!E7+'Model inputs'!F19</f>
        <v>2542.35</v>
      </c>
      <c r="G7" s="9">
        <f>'Model inputs'!F7+'Model inputs'!G19</f>
        <v>2522.2</v>
      </c>
      <c r="H7" s="9">
        <f>'Model inputs'!G7+'Model inputs'!H19</f>
        <v>2502.0499999999997</v>
      </c>
      <c r="I7" s="9">
        <f>'Model inputs'!H7+'Model inputs'!I19</f>
        <v>2481.8999999999996</v>
      </c>
      <c r="J7" s="9">
        <f>'Model inputs'!I7+'Model inputs'!J19</f>
        <v>2461.7499999999995</v>
      </c>
      <c r="K7" s="9">
        <f>'Model inputs'!J7+'Model inputs'!K19</f>
        <v>2441.5999999999995</v>
      </c>
      <c r="L7" s="9">
        <f>'Model inputs'!K7+'Model inputs'!L19</f>
        <v>2421.4499999999994</v>
      </c>
      <c r="M7" s="9">
        <f>'Model inputs'!L7+'Model inputs'!M19</f>
        <v>2401.2999999999993</v>
      </c>
      <c r="N7" s="9">
        <f>'Model inputs'!M7+'Model inputs'!N19</f>
        <v>2381.149999999999</v>
      </c>
      <c r="O7" s="9">
        <f>'Model inputs'!N7+'Model inputs'!O19</f>
        <v>2360.999999999999</v>
      </c>
      <c r="P7" s="9">
        <f>'Model inputs'!O7+'Model inputs'!P19</f>
        <v>2340.849999999999</v>
      </c>
      <c r="Q7" s="9">
        <f>'Model inputs'!P7+'Model inputs'!Q19</f>
        <v>2320.699999999999</v>
      </c>
      <c r="R7" s="9">
        <f>'Model inputs'!Q7+'Model inputs'!R19</f>
        <v>2300.549999999999</v>
      </c>
      <c r="S7" s="9">
        <f>'Model inputs'!R7+'Model inputs'!S19</f>
        <v>2280.3999999999987</v>
      </c>
      <c r="T7" s="9">
        <f>'Model inputs'!S7+'Model inputs'!T19</f>
        <v>2260.2499999999986</v>
      </c>
      <c r="U7" s="9">
        <f>'Model inputs'!T7+'Model inputs'!U19</f>
        <v>2240.0999999999985</v>
      </c>
      <c r="V7" s="9">
        <f>'Model inputs'!U7+'Model inputs'!V19</f>
        <v>2219.9499999999985</v>
      </c>
      <c r="W7" s="9">
        <f>'Model inputs'!V7+'Model inputs'!W19</f>
        <v>2199.7999999999984</v>
      </c>
      <c r="X7" s="9">
        <f>'Model inputs'!W7+'Model inputs'!X19</f>
        <v>2179.6499999999983</v>
      </c>
      <c r="Y7" s="9">
        <f>'Model inputs'!X7+'Model inputs'!Y19</f>
        <v>2159.499999999998</v>
      </c>
      <c r="Z7" s="9">
        <f>'Model inputs'!Y7+'Model inputs'!Z19</f>
        <v>2139.349999999998</v>
      </c>
      <c r="AA7" s="9">
        <f>'Model inputs'!Z7+'Model inputs'!AA19</f>
        <v>2119.199999999998</v>
      </c>
    </row>
    <row r="8">
      <c r="A8" t="inlineStr" s="15">
        <is>
          <t xml:space="preserve">Cash balance with salary</t>
        </is>
      </c>
      <c r="C8" s="9">
        <f>IF('Model inputs'!B32="","",'Model inputs'!B32)</f>
        <v>3000</v>
      </c>
      <c r="D8" s="9">
        <f>'Model inputs'!C8+'Model inputs'!D20</f>
        <v>830</v>
      </c>
      <c r="E8" s="9">
        <f>'Model inputs'!D8+'Model inputs'!E20</f>
        <v>-1437.5</v>
      </c>
      <c r="F8" s="9">
        <f>'Model inputs'!E8+'Model inputs'!F20</f>
        <v>-3457.65</v>
      </c>
      <c r="G8" s="9">
        <f>'Model inputs'!F8+'Model inputs'!G20</f>
        <v>-5477.8</v>
      </c>
      <c r="H8" s="9">
        <f>'Model inputs'!G8+'Model inputs'!H20</f>
        <v>-7497.950000000001</v>
      </c>
      <c r="I8" s="9">
        <f>'Model inputs'!H8+'Model inputs'!I20</f>
        <v>-9518.1</v>
      </c>
      <c r="J8" s="9">
        <f>'Model inputs'!I8+'Model inputs'!J20</f>
        <v>-11538.25</v>
      </c>
      <c r="K8" s="9">
        <f>'Model inputs'!J8+'Model inputs'!K20</f>
        <v>-13558.4</v>
      </c>
      <c r="L8" s="9">
        <f>'Model inputs'!K8+'Model inputs'!L20</f>
        <v>-15578.55</v>
      </c>
      <c r="M8" s="9">
        <f>'Model inputs'!L8+'Model inputs'!M20</f>
        <v>-17598.7</v>
      </c>
      <c r="N8" s="9">
        <f>'Model inputs'!M8+'Model inputs'!N20</f>
        <v>-19618.850000000002</v>
      </c>
      <c r="O8" s="9">
        <f>'Model inputs'!N8+'Model inputs'!O20</f>
        <v>-21639.000000000004</v>
      </c>
      <c r="P8" s="9">
        <f>'Model inputs'!O8+'Model inputs'!P20</f>
        <v>-23659.150000000005</v>
      </c>
      <c r="Q8" s="9">
        <f>'Model inputs'!P8+'Model inputs'!Q20</f>
        <v>-25679.300000000007</v>
      </c>
      <c r="R8" s="9">
        <f>'Model inputs'!Q8+'Model inputs'!R20</f>
        <v>-27699.450000000008</v>
      </c>
      <c r="S8" s="9">
        <f>'Model inputs'!R8+'Model inputs'!S20</f>
        <v>-29719.60000000001</v>
      </c>
      <c r="T8" s="9">
        <f>'Model inputs'!S8+'Model inputs'!T20</f>
        <v>-31739.75000000001</v>
      </c>
      <c r="U8" s="9">
        <f>'Model inputs'!T8+'Model inputs'!U20</f>
        <v>-33759.90000000001</v>
      </c>
      <c r="V8" s="9">
        <f>'Model inputs'!U8+'Model inputs'!V20</f>
        <v>-35780.05000000001</v>
      </c>
      <c r="W8" s="9">
        <f>'Model inputs'!V8+'Model inputs'!W20</f>
        <v>-37800.20000000001</v>
      </c>
      <c r="X8" s="9">
        <f>'Model inputs'!W8+'Model inputs'!X20</f>
        <v>-39820.35000000001</v>
      </c>
      <c r="Y8" s="9">
        <f>'Model inputs'!X8+'Model inputs'!Y20</f>
        <v>-41840.500000000015</v>
      </c>
      <c r="Z8" s="9">
        <f>'Model inputs'!Y8+'Model inputs'!Z20</f>
        <v>-43860.650000000016</v>
      </c>
      <c r="AA8" s="9">
        <f>'Model inputs'!Z8+'Model inputs'!AA20</f>
        <v>-45880.80000000002</v>
      </c>
    </row>
    <row r="9">
      <c r="A9" t="inlineStr" s="15">
        <is>
          <t xml:space="preserve">Cash collected from customers</t>
        </is>
      </c>
      <c r="C9" s="9">
        <v>0</v>
      </c>
      <c r="D9" s="9">
        <f>'Model inputs'!C22*(1-'Model inputs'!B21)</f>
        <v>0</v>
      </c>
      <c r="E9" s="9">
        <f>'Model inputs'!D22*(1-'Model inputs'!B21)</f>
        <v>0</v>
      </c>
      <c r="F9" s="9">
        <f>'Model inputs'!E22*(1-'Model inputs'!B21)</f>
        <v>247.35000000000002</v>
      </c>
      <c r="G9" s="9">
        <f>'Model inputs'!F22*(1-'Model inputs'!B21)</f>
        <v>247.35000000000002</v>
      </c>
      <c r="H9" s="9">
        <f>'Model inputs'!G22*(1-'Model inputs'!B21)</f>
        <v>247.35000000000002</v>
      </c>
      <c r="I9" s="9">
        <f>'Model inputs'!H22*(1-'Model inputs'!B21)</f>
        <v>247.35000000000002</v>
      </c>
      <c r="J9" s="9">
        <f>'Model inputs'!I22*(1-'Model inputs'!B21)</f>
        <v>247.35000000000002</v>
      </c>
      <c r="K9" s="9">
        <f>'Model inputs'!J22*(1-'Model inputs'!B21)</f>
        <v>247.35000000000002</v>
      </c>
      <c r="L9" s="9">
        <f>'Model inputs'!K22*(1-'Model inputs'!B21)</f>
        <v>247.35000000000002</v>
      </c>
      <c r="M9" s="9">
        <f>'Model inputs'!L22*(1-'Model inputs'!B21)</f>
        <v>247.35000000000002</v>
      </c>
      <c r="N9" s="9">
        <f>'Model inputs'!M22*(1-'Model inputs'!B21)</f>
        <v>247.35000000000002</v>
      </c>
      <c r="O9" s="9">
        <f>'Model inputs'!N22*(1-'Model inputs'!B21)</f>
        <v>247.35000000000002</v>
      </c>
      <c r="P9" s="9">
        <f>'Model inputs'!O22*(1-'Model inputs'!B21)</f>
        <v>247.35000000000002</v>
      </c>
      <c r="Q9" s="9">
        <f>'Model inputs'!P22*(1-'Model inputs'!B21)</f>
        <v>247.35000000000002</v>
      </c>
      <c r="R9" s="9">
        <f>'Model inputs'!Q22*(1-'Model inputs'!B21)</f>
        <v>247.35000000000002</v>
      </c>
      <c r="S9" s="9">
        <f>'Model inputs'!R22*(1-'Model inputs'!B21)</f>
        <v>247.35000000000002</v>
      </c>
      <c r="T9" s="9">
        <f>'Model inputs'!S22*(1-'Model inputs'!B21)</f>
        <v>247.35000000000002</v>
      </c>
      <c r="U9" s="9">
        <f>'Model inputs'!T22*(1-'Model inputs'!B21)</f>
        <v>247.35000000000002</v>
      </c>
      <c r="V9" s="9">
        <f>'Model inputs'!U22*(1-'Model inputs'!B21)</f>
        <v>247.35000000000002</v>
      </c>
      <c r="W9" s="9">
        <f>'Model inputs'!V22*(1-'Model inputs'!B21)</f>
        <v>247.35000000000002</v>
      </c>
      <c r="X9" s="9">
        <f>'Model inputs'!W22*(1-'Model inputs'!B21)</f>
        <v>247.35000000000002</v>
      </c>
      <c r="Y9" s="9">
        <f>'Model inputs'!X22*(1-'Model inputs'!B21)</f>
        <v>247.35000000000002</v>
      </c>
      <c r="Z9" s="9">
        <f>'Model inputs'!Y22*(1-'Model inputs'!B21)</f>
        <v>247.35000000000002</v>
      </c>
      <c r="AA9" s="9">
        <f>'Model inputs'!Z22*(1-'Model inputs'!B21)</f>
        <v>247.35000000000002</v>
      </c>
    </row>
    <row r="10">
      <c r="A10" t="inlineStr" s="15">
        <is>
          <t xml:space="preserve">Cost of revenue</t>
        </is>
      </c>
      <c r="D10" s="9">
        <f>'Model inputs'!D18+'Model inputs'!D30</f>
        <v>0</v>
      </c>
      <c r="E10" s="9">
        <f>'Model inputs'!E18+'Model inputs'!E30</f>
        <v>105.15</v>
      </c>
      <c r="F10" s="9">
        <f>'Model inputs'!F18+'Model inputs'!F30</f>
        <v>105.15</v>
      </c>
      <c r="G10" s="9">
        <f>'Model inputs'!G18+'Model inputs'!G30</f>
        <v>105.15</v>
      </c>
      <c r="H10" s="9">
        <f>'Model inputs'!H18+'Model inputs'!H30</f>
        <v>105.15</v>
      </c>
      <c r="I10" s="9">
        <f>'Model inputs'!I18+'Model inputs'!I30</f>
        <v>105.15</v>
      </c>
      <c r="J10" s="9">
        <f>'Model inputs'!J18+'Model inputs'!J30</f>
        <v>105.15</v>
      </c>
      <c r="K10" s="9">
        <f>'Model inputs'!K18+'Model inputs'!K30</f>
        <v>105.15</v>
      </c>
      <c r="L10" s="9">
        <f>'Model inputs'!L18+'Model inputs'!L30</f>
        <v>105.15</v>
      </c>
      <c r="M10" s="9">
        <f>'Model inputs'!M18+'Model inputs'!M30</f>
        <v>105.15</v>
      </c>
      <c r="N10" s="9">
        <f>'Model inputs'!N18+'Model inputs'!N30</f>
        <v>105.15</v>
      </c>
      <c r="O10" s="9">
        <f>'Model inputs'!O18+'Model inputs'!O30</f>
        <v>105.15</v>
      </c>
      <c r="P10" s="9">
        <f>'Model inputs'!P18+'Model inputs'!P30</f>
        <v>105.15</v>
      </c>
      <c r="Q10" s="9">
        <f>'Model inputs'!Q18+'Model inputs'!Q30</f>
        <v>105.15</v>
      </c>
      <c r="R10" s="9">
        <f>'Model inputs'!R18+'Model inputs'!R30</f>
        <v>105.15</v>
      </c>
      <c r="S10" s="9">
        <f>'Model inputs'!S18+'Model inputs'!S30</f>
        <v>105.15</v>
      </c>
      <c r="T10" s="9">
        <f>'Model inputs'!T18+'Model inputs'!T30</f>
        <v>105.15</v>
      </c>
      <c r="U10" s="9">
        <f>'Model inputs'!U18+'Model inputs'!U30</f>
        <v>105.15</v>
      </c>
      <c r="V10" s="9">
        <f>'Model inputs'!V18+'Model inputs'!V30</f>
        <v>105.15</v>
      </c>
      <c r="W10" s="9">
        <f>'Model inputs'!W18+'Model inputs'!W30</f>
        <v>105.15</v>
      </c>
      <c r="X10" s="9">
        <f>'Model inputs'!X18+'Model inputs'!X30</f>
        <v>105.15</v>
      </c>
      <c r="Y10" s="9">
        <f>'Model inputs'!Y18+'Model inputs'!Y30</f>
        <v>105.15</v>
      </c>
      <c r="Z10" s="9">
        <f>'Model inputs'!Z18+'Model inputs'!Z30</f>
        <v>105.15</v>
      </c>
      <c r="AA10" s="9">
        <f>'Model inputs'!AA18+'Model inputs'!AA30</f>
        <v>105.15</v>
      </c>
    </row>
    <row r="11">
      <c r="A11" t="inlineStr" s="15">
        <is>
          <t xml:space="preserve">Fixed costs</t>
        </is>
      </c>
      <c r="C11" s="7">
        <f>SUM('Model inputs'!C12,'Model inputs'!C13,'Model inputs'!C14,'Model inputs'!C15)</f>
        <v>0</v>
      </c>
      <c r="D11" s="7">
        <f>SUM('Model inputs'!D12,'Model inputs'!D13,'Model inputs'!D14,'Model inputs'!D15)</f>
        <v>170</v>
      </c>
      <c r="E11" s="7">
        <f>SUM('Model inputs'!E12,'Model inputs'!E13,'Model inputs'!E14,'Model inputs'!E15)</f>
        <v>170</v>
      </c>
      <c r="F11" s="7">
        <f>SUM('Model inputs'!F12,'Model inputs'!F13,'Model inputs'!F14,'Model inputs'!F15)</f>
        <v>170</v>
      </c>
      <c r="G11" s="7">
        <f>SUM('Model inputs'!G12,'Model inputs'!G13,'Model inputs'!G14,'Model inputs'!G15)</f>
        <v>170</v>
      </c>
      <c r="H11" s="7">
        <f>SUM('Model inputs'!H12,'Model inputs'!H13,'Model inputs'!H14,'Model inputs'!H15)</f>
        <v>170</v>
      </c>
      <c r="I11" s="7">
        <f>SUM('Model inputs'!I12,'Model inputs'!I13,'Model inputs'!I14,'Model inputs'!I15)</f>
        <v>170</v>
      </c>
      <c r="J11" s="7">
        <f>SUM('Model inputs'!J12,'Model inputs'!J13,'Model inputs'!J14,'Model inputs'!J15)</f>
        <v>170</v>
      </c>
      <c r="K11" s="7">
        <f>SUM('Model inputs'!K12,'Model inputs'!K13,'Model inputs'!K14,'Model inputs'!K15)</f>
        <v>170</v>
      </c>
      <c r="L11" s="7">
        <f>SUM('Model inputs'!L12,'Model inputs'!L13,'Model inputs'!L14,'Model inputs'!L15)</f>
        <v>170</v>
      </c>
      <c r="M11" s="7">
        <f>SUM('Model inputs'!M12,'Model inputs'!M13,'Model inputs'!M14,'Model inputs'!M15)</f>
        <v>170</v>
      </c>
      <c r="N11" s="7">
        <f>SUM('Model inputs'!N12,'Model inputs'!N13,'Model inputs'!N14,'Model inputs'!N15)</f>
        <v>170</v>
      </c>
      <c r="O11" s="7">
        <f>SUM('Model inputs'!O12,'Model inputs'!O13,'Model inputs'!O14,'Model inputs'!O15)</f>
        <v>170</v>
      </c>
      <c r="P11" s="7">
        <f>SUM('Model inputs'!P12,'Model inputs'!P13,'Model inputs'!P14,'Model inputs'!P15)</f>
        <v>170</v>
      </c>
      <c r="Q11" s="7">
        <f>SUM('Model inputs'!Q12,'Model inputs'!Q13,'Model inputs'!Q14,'Model inputs'!Q15)</f>
        <v>170</v>
      </c>
      <c r="R11" s="7">
        <f>SUM('Model inputs'!R12,'Model inputs'!R13,'Model inputs'!R14,'Model inputs'!R15)</f>
        <v>170</v>
      </c>
      <c r="S11" s="7">
        <f>SUM('Model inputs'!S12,'Model inputs'!S13,'Model inputs'!S14,'Model inputs'!S15)</f>
        <v>170</v>
      </c>
      <c r="T11" s="7">
        <f>SUM('Model inputs'!T12,'Model inputs'!T13,'Model inputs'!T14,'Model inputs'!T15)</f>
        <v>170</v>
      </c>
      <c r="U11" s="7">
        <f>SUM('Model inputs'!U12,'Model inputs'!U13,'Model inputs'!U14,'Model inputs'!U15)</f>
        <v>170</v>
      </c>
      <c r="V11" s="7">
        <f>SUM('Model inputs'!V12,'Model inputs'!V13,'Model inputs'!V14,'Model inputs'!V15)</f>
        <v>170</v>
      </c>
      <c r="W11" s="7">
        <f>SUM('Model inputs'!W12,'Model inputs'!W13,'Model inputs'!W14,'Model inputs'!W15)</f>
        <v>170</v>
      </c>
      <c r="X11" s="7">
        <f>SUM('Model inputs'!X12,'Model inputs'!X13,'Model inputs'!X14,'Model inputs'!X15)</f>
        <v>170</v>
      </c>
      <c r="Y11" s="7">
        <f>SUM('Model inputs'!Y12,'Model inputs'!Y13,'Model inputs'!Y14,'Model inputs'!Y15)</f>
        <v>170</v>
      </c>
      <c r="Z11" s="7">
        <f>SUM('Model inputs'!Z12,'Model inputs'!Z13,'Model inputs'!Z14,'Model inputs'!Z15)</f>
        <v>170</v>
      </c>
      <c r="AA11" s="7">
        <f>SUM('Model inputs'!AA12,'Model inputs'!AA13,'Model inputs'!AA14,'Model inputs'!AA15)</f>
        <v>170</v>
      </c>
    </row>
    <row r="12" outlineLevel="1">
      <c r="A12" t="inlineStr" s="16">
        <is>
          <t xml:space="preserve">Fixed costs &gt; Accounting, legal &amp; misc</t>
        </is>
      </c>
      <c r="C12" s="9">
        <f>0</f>
        <v>0</v>
      </c>
      <c r="D12" s="9">
        <f>IF('Model inputs'!B26="","",'Model inputs'!B26)</f>
        <v>50</v>
      </c>
      <c r="E12" s="9">
        <f>IF('Model inputs'!B26="","",'Model inputs'!B26)</f>
        <v>50</v>
      </c>
      <c r="F12" s="9">
        <f>IF('Model inputs'!B26="","",'Model inputs'!B26)</f>
        <v>50</v>
      </c>
      <c r="G12" s="9">
        <f>IF('Model inputs'!B26="","",'Model inputs'!B26)</f>
        <v>50</v>
      </c>
      <c r="H12" s="9">
        <f>IF('Model inputs'!B26="","",'Model inputs'!B26)</f>
        <v>50</v>
      </c>
      <c r="I12" s="9">
        <f>IF('Model inputs'!B26="","",'Model inputs'!B26)</f>
        <v>50</v>
      </c>
      <c r="J12" s="9">
        <f>IF('Model inputs'!B26="","",'Model inputs'!B26)</f>
        <v>50</v>
      </c>
      <c r="K12" s="9">
        <f>IF('Model inputs'!B26="","",'Model inputs'!B26)</f>
        <v>50</v>
      </c>
      <c r="L12" s="9">
        <f>IF('Model inputs'!B26="","",'Model inputs'!B26)</f>
        <v>50</v>
      </c>
      <c r="M12" s="9">
        <f>IF('Model inputs'!B26="","",'Model inputs'!B26)</f>
        <v>50</v>
      </c>
      <c r="N12" s="9">
        <f>IF('Model inputs'!B26="","",'Model inputs'!B26)</f>
        <v>50</v>
      </c>
      <c r="O12" s="9">
        <f>IF('Model inputs'!B26="","",'Model inputs'!B26)</f>
        <v>50</v>
      </c>
      <c r="P12" s="9">
        <f>IF('Model inputs'!B26="","",'Model inputs'!B26)</f>
        <v>50</v>
      </c>
      <c r="Q12" s="9">
        <f>IF('Model inputs'!B26="","",'Model inputs'!B26)</f>
        <v>50</v>
      </c>
      <c r="R12" s="9">
        <f>IF('Model inputs'!B26="","",'Model inputs'!B26)</f>
        <v>50</v>
      </c>
      <c r="S12" s="9">
        <f>IF('Model inputs'!B26="","",'Model inputs'!B26)</f>
        <v>50</v>
      </c>
      <c r="T12" s="9">
        <f>IF('Model inputs'!B26="","",'Model inputs'!B26)</f>
        <v>50</v>
      </c>
      <c r="U12" s="9">
        <f>IF('Model inputs'!B26="","",'Model inputs'!B26)</f>
        <v>50</v>
      </c>
      <c r="V12" s="9">
        <f>IF('Model inputs'!B26="","",'Model inputs'!B26)</f>
        <v>50</v>
      </c>
      <c r="W12" s="9">
        <f>IF('Model inputs'!B26="","",'Model inputs'!B26)</f>
        <v>50</v>
      </c>
      <c r="X12" s="9">
        <f>IF('Model inputs'!B26="","",'Model inputs'!B26)</f>
        <v>50</v>
      </c>
      <c r="Y12" s="9">
        <f>IF('Model inputs'!B26="","",'Model inputs'!B26)</f>
        <v>50</v>
      </c>
      <c r="Z12" s="9">
        <f>IF('Model inputs'!B26="","",'Model inputs'!B26)</f>
        <v>50</v>
      </c>
      <c r="AA12" s="9">
        <f>IF('Model inputs'!B26="","",'Model inputs'!B26)</f>
        <v>50</v>
      </c>
    </row>
    <row r="13" outlineLevel="1">
      <c r="A13" t="inlineStr" s="16">
        <is>
          <t xml:space="preserve">Fixed costs &gt; Hosting</t>
        </is>
      </c>
      <c r="C13" s="9">
        <f>0</f>
        <v>0</v>
      </c>
      <c r="D13" s="9">
        <f>IF('Model inputs'!B27="","",'Model inputs'!B27)</f>
        <v>40</v>
      </c>
      <c r="E13" s="9">
        <f>IF('Model inputs'!B27="","",'Model inputs'!B27)</f>
        <v>40</v>
      </c>
      <c r="F13" s="9">
        <f>IF('Model inputs'!B27="","",'Model inputs'!B27)</f>
        <v>40</v>
      </c>
      <c r="G13" s="9">
        <f>IF('Model inputs'!B27="","",'Model inputs'!B27)</f>
        <v>40</v>
      </c>
      <c r="H13" s="9">
        <f>IF('Model inputs'!B27="","",'Model inputs'!B27)</f>
        <v>40</v>
      </c>
      <c r="I13" s="9">
        <f>IF('Model inputs'!B27="","",'Model inputs'!B27)</f>
        <v>40</v>
      </c>
      <c r="J13" s="9">
        <f>IF('Model inputs'!B27="","",'Model inputs'!B27)</f>
        <v>40</v>
      </c>
      <c r="K13" s="9">
        <f>IF('Model inputs'!B27="","",'Model inputs'!B27)</f>
        <v>40</v>
      </c>
      <c r="L13" s="9">
        <f>IF('Model inputs'!B27="","",'Model inputs'!B27)</f>
        <v>40</v>
      </c>
      <c r="M13" s="9">
        <f>IF('Model inputs'!B27="","",'Model inputs'!B27)</f>
        <v>40</v>
      </c>
      <c r="N13" s="9">
        <f>IF('Model inputs'!B27="","",'Model inputs'!B27)</f>
        <v>40</v>
      </c>
      <c r="O13" s="9">
        <f>IF('Model inputs'!B27="","",'Model inputs'!B27)</f>
        <v>40</v>
      </c>
      <c r="P13" s="9">
        <f>IF('Model inputs'!B27="","",'Model inputs'!B27)</f>
        <v>40</v>
      </c>
      <c r="Q13" s="9">
        <f>IF('Model inputs'!B27="","",'Model inputs'!B27)</f>
        <v>40</v>
      </c>
      <c r="R13" s="9">
        <f>IF('Model inputs'!B27="","",'Model inputs'!B27)</f>
        <v>40</v>
      </c>
      <c r="S13" s="9">
        <f>IF('Model inputs'!B27="","",'Model inputs'!B27)</f>
        <v>40</v>
      </c>
      <c r="T13" s="9">
        <f>IF('Model inputs'!B27="","",'Model inputs'!B27)</f>
        <v>40</v>
      </c>
      <c r="U13" s="9">
        <f>IF('Model inputs'!B27="","",'Model inputs'!B27)</f>
        <v>40</v>
      </c>
      <c r="V13" s="9">
        <f>IF('Model inputs'!B27="","",'Model inputs'!B27)</f>
        <v>40</v>
      </c>
      <c r="W13" s="9">
        <f>IF('Model inputs'!B27="","",'Model inputs'!B27)</f>
        <v>40</v>
      </c>
      <c r="X13" s="9">
        <f>IF('Model inputs'!B27="","",'Model inputs'!B27)</f>
        <v>40</v>
      </c>
      <c r="Y13" s="9">
        <f>IF('Model inputs'!B27="","",'Model inputs'!B27)</f>
        <v>40</v>
      </c>
      <c r="Z13" s="9">
        <f>IF('Model inputs'!B27="","",'Model inputs'!B27)</f>
        <v>40</v>
      </c>
      <c r="AA13" s="9">
        <f>IF('Model inputs'!B27="","",'Model inputs'!B27)</f>
        <v>40</v>
      </c>
    </row>
    <row r="14" outlineLevel="1">
      <c r="A14" t="inlineStr" s="16">
        <is>
          <t xml:space="preserve">Fixed costs &gt; Observability</t>
        </is>
      </c>
      <c r="C14" s="9">
        <f>0</f>
        <v>0</v>
      </c>
      <c r="D14" s="9">
        <f>IF('Model inputs'!B28="","",'Model inputs'!B28)</f>
        <v>50</v>
      </c>
      <c r="E14" s="9">
        <f>IF('Model inputs'!B28="","",'Model inputs'!B28)</f>
        <v>50</v>
      </c>
      <c r="F14" s="9">
        <f>IF('Model inputs'!B28="","",'Model inputs'!B28)</f>
        <v>50</v>
      </c>
      <c r="G14" s="9">
        <f>IF('Model inputs'!B28="","",'Model inputs'!B28)</f>
        <v>50</v>
      </c>
      <c r="H14" s="9">
        <f>IF('Model inputs'!B28="","",'Model inputs'!B28)</f>
        <v>50</v>
      </c>
      <c r="I14" s="9">
        <f>IF('Model inputs'!B28="","",'Model inputs'!B28)</f>
        <v>50</v>
      </c>
      <c r="J14" s="9">
        <f>IF('Model inputs'!B28="","",'Model inputs'!B28)</f>
        <v>50</v>
      </c>
      <c r="K14" s="9">
        <f>IF('Model inputs'!B28="","",'Model inputs'!B28)</f>
        <v>50</v>
      </c>
      <c r="L14" s="9">
        <f>IF('Model inputs'!B28="","",'Model inputs'!B28)</f>
        <v>50</v>
      </c>
      <c r="M14" s="9">
        <f>IF('Model inputs'!B28="","",'Model inputs'!B28)</f>
        <v>50</v>
      </c>
      <c r="N14" s="9">
        <f>IF('Model inputs'!B28="","",'Model inputs'!B28)</f>
        <v>50</v>
      </c>
      <c r="O14" s="9">
        <f>IF('Model inputs'!B28="","",'Model inputs'!B28)</f>
        <v>50</v>
      </c>
      <c r="P14" s="9">
        <f>IF('Model inputs'!B28="","",'Model inputs'!B28)</f>
        <v>50</v>
      </c>
      <c r="Q14" s="9">
        <f>IF('Model inputs'!B28="","",'Model inputs'!B28)</f>
        <v>50</v>
      </c>
      <c r="R14" s="9">
        <f>IF('Model inputs'!B28="","",'Model inputs'!B28)</f>
        <v>50</v>
      </c>
      <c r="S14" s="9">
        <f>IF('Model inputs'!B28="","",'Model inputs'!B28)</f>
        <v>50</v>
      </c>
      <c r="T14" s="9">
        <f>IF('Model inputs'!B28="","",'Model inputs'!B28)</f>
        <v>50</v>
      </c>
      <c r="U14" s="9">
        <f>IF('Model inputs'!B28="","",'Model inputs'!B28)</f>
        <v>50</v>
      </c>
      <c r="V14" s="9">
        <f>IF('Model inputs'!B28="","",'Model inputs'!B28)</f>
        <v>50</v>
      </c>
      <c r="W14" s="9">
        <f>IF('Model inputs'!B28="","",'Model inputs'!B28)</f>
        <v>50</v>
      </c>
      <c r="X14" s="9">
        <f>IF('Model inputs'!B28="","",'Model inputs'!B28)</f>
        <v>50</v>
      </c>
      <c r="Y14" s="9">
        <f>IF('Model inputs'!B28="","",'Model inputs'!B28)</f>
        <v>50</v>
      </c>
      <c r="Z14" s="9">
        <f>IF('Model inputs'!B28="","",'Model inputs'!B28)</f>
        <v>50</v>
      </c>
      <c r="AA14" s="9">
        <f>IF('Model inputs'!B28="","",'Model inputs'!B28)</f>
        <v>50</v>
      </c>
    </row>
    <row r="15" outlineLevel="1">
      <c r="A15" t="inlineStr" s="16">
        <is>
          <t xml:space="preserve">Fixed costs &gt; Tooling &amp; misc</t>
        </is>
      </c>
      <c r="C15" s="9">
        <f>0</f>
        <v>0</v>
      </c>
      <c r="D15" s="9">
        <f>IF('Model inputs'!B29="","",'Model inputs'!B29)</f>
        <v>30</v>
      </c>
      <c r="E15" s="9">
        <f>IF('Model inputs'!B29="","",'Model inputs'!B29)</f>
        <v>30</v>
      </c>
      <c r="F15" s="9">
        <f>IF('Model inputs'!B29="","",'Model inputs'!B29)</f>
        <v>30</v>
      </c>
      <c r="G15" s="9">
        <f>IF('Model inputs'!B29="","",'Model inputs'!B29)</f>
        <v>30</v>
      </c>
      <c r="H15" s="9">
        <f>IF('Model inputs'!B29="","",'Model inputs'!B29)</f>
        <v>30</v>
      </c>
      <c r="I15" s="9">
        <f>IF('Model inputs'!B29="","",'Model inputs'!B29)</f>
        <v>30</v>
      </c>
      <c r="J15" s="9">
        <f>IF('Model inputs'!B29="","",'Model inputs'!B29)</f>
        <v>30</v>
      </c>
      <c r="K15" s="9">
        <f>IF('Model inputs'!B29="","",'Model inputs'!B29)</f>
        <v>30</v>
      </c>
      <c r="L15" s="9">
        <f>IF('Model inputs'!B29="","",'Model inputs'!B29)</f>
        <v>30</v>
      </c>
      <c r="M15" s="9">
        <f>IF('Model inputs'!B29="","",'Model inputs'!B29)</f>
        <v>30</v>
      </c>
      <c r="N15" s="9">
        <f>IF('Model inputs'!B29="","",'Model inputs'!B29)</f>
        <v>30</v>
      </c>
      <c r="O15" s="9">
        <f>IF('Model inputs'!B29="","",'Model inputs'!B29)</f>
        <v>30</v>
      </c>
      <c r="P15" s="9">
        <f>IF('Model inputs'!B29="","",'Model inputs'!B29)</f>
        <v>30</v>
      </c>
      <c r="Q15" s="9">
        <f>IF('Model inputs'!B29="","",'Model inputs'!B29)</f>
        <v>30</v>
      </c>
      <c r="R15" s="9">
        <f>IF('Model inputs'!B29="","",'Model inputs'!B29)</f>
        <v>30</v>
      </c>
      <c r="S15" s="9">
        <f>IF('Model inputs'!B29="","",'Model inputs'!B29)</f>
        <v>30</v>
      </c>
      <c r="T15" s="9">
        <f>IF('Model inputs'!B29="","",'Model inputs'!B29)</f>
        <v>30</v>
      </c>
      <c r="U15" s="9">
        <f>IF('Model inputs'!B29="","",'Model inputs'!B29)</f>
        <v>30</v>
      </c>
      <c r="V15" s="9">
        <f>IF('Model inputs'!B29="","",'Model inputs'!B29)</f>
        <v>30</v>
      </c>
      <c r="W15" s="9">
        <f>IF('Model inputs'!B29="","",'Model inputs'!B29)</f>
        <v>30</v>
      </c>
      <c r="X15" s="9">
        <f>IF('Model inputs'!B29="","",'Model inputs'!B29)</f>
        <v>30</v>
      </c>
      <c r="Y15" s="9">
        <f>IF('Model inputs'!B29="","",'Model inputs'!B29)</f>
        <v>30</v>
      </c>
      <c r="Z15" s="9">
        <f>IF('Model inputs'!B29="","",'Model inputs'!B29)</f>
        <v>30</v>
      </c>
      <c r="AA15" s="9">
        <f>IF('Model inputs'!B29="","",'Model inputs'!B29)</f>
        <v>30</v>
      </c>
    </row>
    <row r="16">
      <c r="A16" t="inlineStr" s="15">
        <is>
          <t xml:space="preserve">Founder salary</t>
        </is>
      </c>
      <c r="C16" s="9">
        <v>0</v>
      </c>
      <c r="D16" s="9">
        <f>IF('Model inputs'!B17="","",'Model inputs'!B17)</f>
        <v>2000</v>
      </c>
      <c r="E16" s="9">
        <f>IF('Model inputs'!B17="","",'Model inputs'!B17)</f>
        <v>2000</v>
      </c>
      <c r="F16" s="9">
        <f>IF('Model inputs'!B17="","",'Model inputs'!B17)</f>
        <v>2000</v>
      </c>
      <c r="G16" s="9">
        <f>IF('Model inputs'!B17="","",'Model inputs'!B17)</f>
        <v>2000</v>
      </c>
      <c r="H16" s="9">
        <f>IF('Model inputs'!B17="","",'Model inputs'!B17)</f>
        <v>2000</v>
      </c>
      <c r="I16" s="9">
        <f>IF('Model inputs'!B17="","",'Model inputs'!B17)</f>
        <v>2000</v>
      </c>
      <c r="J16" s="9">
        <f>IF('Model inputs'!B17="","",'Model inputs'!B17)</f>
        <v>2000</v>
      </c>
      <c r="K16" s="9">
        <f>IF('Model inputs'!B17="","",'Model inputs'!B17)</f>
        <v>2000</v>
      </c>
      <c r="L16" s="9">
        <f>IF('Model inputs'!B17="","",'Model inputs'!B17)</f>
        <v>2000</v>
      </c>
      <c r="M16" s="9">
        <f>IF('Model inputs'!B17="","",'Model inputs'!B17)</f>
        <v>2000</v>
      </c>
      <c r="N16" s="9">
        <f>IF('Model inputs'!B17="","",'Model inputs'!B17)</f>
        <v>2000</v>
      </c>
      <c r="O16" s="9">
        <f>IF('Model inputs'!B17="","",'Model inputs'!B17)</f>
        <v>2000</v>
      </c>
      <c r="P16" s="9">
        <f>IF('Model inputs'!B17="","",'Model inputs'!B17)</f>
        <v>2000</v>
      </c>
      <c r="Q16" s="9">
        <f>IF('Model inputs'!B17="","",'Model inputs'!B17)</f>
        <v>2000</v>
      </c>
      <c r="R16" s="9">
        <f>IF('Model inputs'!B17="","",'Model inputs'!B17)</f>
        <v>2000</v>
      </c>
      <c r="S16" s="9">
        <f>IF('Model inputs'!B17="","",'Model inputs'!B17)</f>
        <v>2000</v>
      </c>
      <c r="T16" s="9">
        <f>IF('Model inputs'!B17="","",'Model inputs'!B17)</f>
        <v>2000</v>
      </c>
      <c r="U16" s="9">
        <f>IF('Model inputs'!B17="","",'Model inputs'!B17)</f>
        <v>2000</v>
      </c>
      <c r="V16" s="9">
        <f>IF('Model inputs'!B17="","",'Model inputs'!B17)</f>
        <v>2000</v>
      </c>
      <c r="W16" s="9">
        <f>IF('Model inputs'!B17="","",'Model inputs'!B17)</f>
        <v>2000</v>
      </c>
      <c r="X16" s="9">
        <f>IF('Model inputs'!B17="","",'Model inputs'!B17)</f>
        <v>2000</v>
      </c>
      <c r="Y16" s="9">
        <f>IF('Model inputs'!B17="","",'Model inputs'!B17)</f>
        <v>2000</v>
      </c>
      <c r="Z16" s="9">
        <f>IF('Model inputs'!B17="","",'Model inputs'!B17)</f>
        <v>2000</v>
      </c>
      <c r="AA16" s="9">
        <f>IF('Model inputs'!B17="","",'Model inputs'!B17)</f>
        <v>2000</v>
      </c>
    </row>
    <row r="17">
      <c r="A17" t="inlineStr" s="15">
        <is>
          <t xml:space="preserve">Founder salary (comparison)</t>
        </is>
      </c>
      <c r="B17" s="9">
        <f>2000</f>
        <v>2000</v>
      </c>
    </row>
    <row r="18">
      <c r="A18" t="inlineStr" s="15">
        <is>
          <t xml:space="preserve">Model usage cost</t>
        </is>
      </c>
      <c r="C18" s="9">
        <v>0</v>
      </c>
      <c r="D18" s="9">
        <f>'Model inputs'!D23*'Model inputs'!B6</f>
        <v>0</v>
      </c>
      <c r="E18" s="9">
        <f>'Model inputs'!E23*'Model inputs'!B6</f>
        <v>97.5</v>
      </c>
      <c r="F18" s="9">
        <f>'Model inputs'!F23*'Model inputs'!B6</f>
        <v>97.5</v>
      </c>
      <c r="G18" s="9">
        <f>'Model inputs'!G23*'Model inputs'!B6</f>
        <v>97.5</v>
      </c>
      <c r="H18" s="9">
        <f>'Model inputs'!H23*'Model inputs'!B6</f>
        <v>97.5</v>
      </c>
      <c r="I18" s="9">
        <f>'Model inputs'!I23*'Model inputs'!B6</f>
        <v>97.5</v>
      </c>
      <c r="J18" s="9">
        <f>'Model inputs'!J23*'Model inputs'!B6</f>
        <v>97.5</v>
      </c>
      <c r="K18" s="9">
        <f>'Model inputs'!K23*'Model inputs'!B6</f>
        <v>97.5</v>
      </c>
      <c r="L18" s="9">
        <f>'Model inputs'!L23*'Model inputs'!B6</f>
        <v>97.5</v>
      </c>
      <c r="M18" s="9">
        <f>'Model inputs'!M23*'Model inputs'!B6</f>
        <v>97.5</v>
      </c>
      <c r="N18" s="9">
        <f>'Model inputs'!N23*'Model inputs'!B6</f>
        <v>97.5</v>
      </c>
      <c r="O18" s="9">
        <f>'Model inputs'!O23*'Model inputs'!B6</f>
        <v>97.5</v>
      </c>
      <c r="P18" s="9">
        <f>'Model inputs'!P23*'Model inputs'!B6</f>
        <v>97.5</v>
      </c>
      <c r="Q18" s="9">
        <f>'Model inputs'!Q23*'Model inputs'!B6</f>
        <v>97.5</v>
      </c>
      <c r="R18" s="9">
        <f>'Model inputs'!R23*'Model inputs'!B6</f>
        <v>97.5</v>
      </c>
      <c r="S18" s="9">
        <f>'Model inputs'!S23*'Model inputs'!B6</f>
        <v>97.5</v>
      </c>
      <c r="T18" s="9">
        <f>'Model inputs'!T23*'Model inputs'!B6</f>
        <v>97.5</v>
      </c>
      <c r="U18" s="9">
        <f>'Model inputs'!U23*'Model inputs'!B6</f>
        <v>97.5</v>
      </c>
      <c r="V18" s="9">
        <f>'Model inputs'!V23*'Model inputs'!B6</f>
        <v>97.5</v>
      </c>
      <c r="W18" s="9">
        <f>'Model inputs'!W23*'Model inputs'!B6</f>
        <v>97.5</v>
      </c>
      <c r="X18" s="9">
        <f>'Model inputs'!X23*'Model inputs'!B6</f>
        <v>97.5</v>
      </c>
      <c r="Y18" s="9">
        <f>'Model inputs'!Y23*'Model inputs'!B6</f>
        <v>97.5</v>
      </c>
      <c r="Z18" s="9">
        <f>'Model inputs'!Z23*'Model inputs'!B6</f>
        <v>97.5</v>
      </c>
      <c r="AA18" s="9">
        <f>'Model inputs'!AA23*'Model inputs'!B6</f>
        <v>97.5</v>
      </c>
    </row>
    <row r="19">
      <c r="A19" t="inlineStr" s="15">
        <is>
          <t xml:space="preserve">Net cash flow</t>
        </is>
      </c>
      <c r="C19" s="9">
        <v>0</v>
      </c>
      <c r="D19" s="9">
        <f>'Model inputs'!D9-'Model inputs'!D18-'Model inputs'!D11</f>
        <v>-170</v>
      </c>
      <c r="E19" s="9">
        <f>'Model inputs'!E9-'Model inputs'!E18-'Model inputs'!E11</f>
        <v>-267.5</v>
      </c>
      <c r="F19" s="9">
        <f>'Model inputs'!F9-'Model inputs'!F18-'Model inputs'!F11</f>
        <v>-20.149999999999977</v>
      </c>
      <c r="G19" s="9">
        <f>'Model inputs'!G9-'Model inputs'!G18-'Model inputs'!G11</f>
        <v>-20.149999999999977</v>
      </c>
      <c r="H19" s="9">
        <f>'Model inputs'!H9-'Model inputs'!H18-'Model inputs'!H11</f>
        <v>-20.149999999999977</v>
      </c>
      <c r="I19" s="9">
        <f>'Model inputs'!I9-'Model inputs'!I18-'Model inputs'!I11</f>
        <v>-20.149999999999977</v>
      </c>
      <c r="J19" s="9">
        <f>'Model inputs'!J9-'Model inputs'!J18-'Model inputs'!J11</f>
        <v>-20.149999999999977</v>
      </c>
      <c r="K19" s="9">
        <f>'Model inputs'!K9-'Model inputs'!K18-'Model inputs'!K11</f>
        <v>-20.149999999999977</v>
      </c>
      <c r="L19" s="9">
        <f>'Model inputs'!L9-'Model inputs'!L18-'Model inputs'!L11</f>
        <v>-20.149999999999977</v>
      </c>
      <c r="M19" s="9">
        <f>'Model inputs'!M9-'Model inputs'!M18-'Model inputs'!M11</f>
        <v>-20.149999999999977</v>
      </c>
      <c r="N19" s="9">
        <f>'Model inputs'!N9-'Model inputs'!N18-'Model inputs'!N11</f>
        <v>-20.149999999999977</v>
      </c>
      <c r="O19" s="9">
        <f>'Model inputs'!O9-'Model inputs'!O18-'Model inputs'!O11</f>
        <v>-20.149999999999977</v>
      </c>
      <c r="P19" s="9">
        <f>'Model inputs'!P9-'Model inputs'!P18-'Model inputs'!P11</f>
        <v>-20.149999999999977</v>
      </c>
      <c r="Q19" s="9">
        <f>'Model inputs'!Q9-'Model inputs'!Q18-'Model inputs'!Q11</f>
        <v>-20.149999999999977</v>
      </c>
      <c r="R19" s="9">
        <f>'Model inputs'!R9-'Model inputs'!R18-'Model inputs'!R11</f>
        <v>-20.149999999999977</v>
      </c>
      <c r="S19" s="9">
        <f>'Model inputs'!S9-'Model inputs'!S18-'Model inputs'!S11</f>
        <v>-20.149999999999977</v>
      </c>
      <c r="T19" s="9">
        <f>'Model inputs'!T9-'Model inputs'!T18-'Model inputs'!T11</f>
        <v>-20.149999999999977</v>
      </c>
      <c r="U19" s="9">
        <f>'Model inputs'!U9-'Model inputs'!U18-'Model inputs'!U11</f>
        <v>-20.149999999999977</v>
      </c>
      <c r="V19" s="9">
        <f>'Model inputs'!V9-'Model inputs'!V18-'Model inputs'!V11</f>
        <v>-20.149999999999977</v>
      </c>
      <c r="W19" s="9">
        <f>'Model inputs'!W9-'Model inputs'!W18-'Model inputs'!W11</f>
        <v>-20.149999999999977</v>
      </c>
      <c r="X19" s="9">
        <f>'Model inputs'!X9-'Model inputs'!X18-'Model inputs'!X11</f>
        <v>-20.149999999999977</v>
      </c>
      <c r="Y19" s="9">
        <f>'Model inputs'!Y9-'Model inputs'!Y18-'Model inputs'!Y11</f>
        <v>-20.149999999999977</v>
      </c>
      <c r="Z19" s="9">
        <f>'Model inputs'!Z9-'Model inputs'!Z18-'Model inputs'!Z11</f>
        <v>-20.149999999999977</v>
      </c>
      <c r="AA19" s="9">
        <f>'Model inputs'!AA9-'Model inputs'!AA18-'Model inputs'!AA11</f>
        <v>-20.149999999999977</v>
      </c>
    </row>
    <row r="20">
      <c r="A20" t="inlineStr" s="15">
        <is>
          <t xml:space="preserve">Net cash flow with salary</t>
        </is>
      </c>
      <c r="C20" s="9">
        <v>0</v>
      </c>
      <c r="D20" s="9">
        <f>'Model inputs'!D19-'Model inputs'!D16</f>
        <v>-2170</v>
      </c>
      <c r="E20" s="9">
        <f>'Model inputs'!E19-'Model inputs'!E16</f>
        <v>-2267.5</v>
      </c>
      <c r="F20" s="9">
        <f>'Model inputs'!F19-'Model inputs'!F16</f>
        <v>-2020.15</v>
      </c>
      <c r="G20" s="9">
        <f>'Model inputs'!G19-'Model inputs'!G16</f>
        <v>-2020.15</v>
      </c>
      <c r="H20" s="9">
        <f>'Model inputs'!H19-'Model inputs'!H16</f>
        <v>-2020.15</v>
      </c>
      <c r="I20" s="9">
        <f>'Model inputs'!I19-'Model inputs'!I16</f>
        <v>-2020.15</v>
      </c>
      <c r="J20" s="9">
        <f>'Model inputs'!J19-'Model inputs'!J16</f>
        <v>-2020.15</v>
      </c>
      <c r="K20" s="9">
        <f>'Model inputs'!K19-'Model inputs'!K16</f>
        <v>-2020.15</v>
      </c>
      <c r="L20" s="9">
        <f>'Model inputs'!L19-'Model inputs'!L16</f>
        <v>-2020.15</v>
      </c>
      <c r="M20" s="9">
        <f>'Model inputs'!M19-'Model inputs'!M16</f>
        <v>-2020.15</v>
      </c>
      <c r="N20" s="9">
        <f>'Model inputs'!N19-'Model inputs'!N16</f>
        <v>-2020.15</v>
      </c>
      <c r="O20" s="9">
        <f>'Model inputs'!O19-'Model inputs'!O16</f>
        <v>-2020.15</v>
      </c>
      <c r="P20" s="9">
        <f>'Model inputs'!P19-'Model inputs'!P16</f>
        <v>-2020.15</v>
      </c>
      <c r="Q20" s="9">
        <f>'Model inputs'!Q19-'Model inputs'!Q16</f>
        <v>-2020.15</v>
      </c>
      <c r="R20" s="9">
        <f>'Model inputs'!R19-'Model inputs'!R16</f>
        <v>-2020.15</v>
      </c>
      <c r="S20" s="9">
        <f>'Model inputs'!S19-'Model inputs'!S16</f>
        <v>-2020.15</v>
      </c>
      <c r="T20" s="9">
        <f>'Model inputs'!T19-'Model inputs'!T16</f>
        <v>-2020.15</v>
      </c>
      <c r="U20" s="9">
        <f>'Model inputs'!U19-'Model inputs'!U16</f>
        <v>-2020.15</v>
      </c>
      <c r="V20" s="9">
        <f>'Model inputs'!V19-'Model inputs'!V16</f>
        <v>-2020.15</v>
      </c>
      <c r="W20" s="9">
        <f>'Model inputs'!W19-'Model inputs'!W16</f>
        <v>-2020.15</v>
      </c>
      <c r="X20" s="9">
        <f>'Model inputs'!X19-'Model inputs'!X16</f>
        <v>-2020.15</v>
      </c>
      <c r="Y20" s="9">
        <f>'Model inputs'!Y19-'Model inputs'!Y16</f>
        <v>-2020.15</v>
      </c>
      <c r="Z20" s="9">
        <f>'Model inputs'!Z19-'Model inputs'!Z16</f>
        <v>-2020.15</v>
      </c>
      <c r="AA20" s="9">
        <f>'Model inputs'!AA19-'Model inputs'!AA16</f>
        <v>-2020.15</v>
      </c>
    </row>
    <row r="21">
      <c r="A21" t="inlineStr" s="15">
        <is>
          <t xml:space="preserve">Payment processing rate · Cash &amp; runway</t>
        </is>
      </c>
      <c r="B21" s="9">
        <f>0.03</f>
        <v>0.03</v>
      </c>
    </row>
    <row r="22">
      <c r="A22" t="inlineStr" s="15">
        <is>
          <t xml:space="preserve">Revenue</t>
        </is>
      </c>
      <c r="C22" s="9">
        <v>0</v>
      </c>
      <c r="D22" s="9">
        <f>'Model inputs'!D23*'Model inputs'!B31</f>
        <v>0</v>
      </c>
      <c r="E22" s="9">
        <f>'Model inputs'!E23*'Model inputs'!B31</f>
        <v>255.00000000000003</v>
      </c>
      <c r="F22" s="9">
        <f>'Model inputs'!F23*'Model inputs'!B31</f>
        <v>255.00000000000003</v>
      </c>
      <c r="G22" s="9">
        <f>'Model inputs'!G23*'Model inputs'!B31</f>
        <v>255.00000000000003</v>
      </c>
      <c r="H22" s="9">
        <f>'Model inputs'!H23*'Model inputs'!B31</f>
        <v>255.00000000000003</v>
      </c>
      <c r="I22" s="9">
        <f>'Model inputs'!I23*'Model inputs'!B31</f>
        <v>255.00000000000003</v>
      </c>
      <c r="J22" s="9">
        <f>'Model inputs'!J23*'Model inputs'!B31</f>
        <v>255.00000000000003</v>
      </c>
      <c r="K22" s="9">
        <f>'Model inputs'!K23*'Model inputs'!B31</f>
        <v>255.00000000000003</v>
      </c>
      <c r="L22" s="9">
        <f>'Model inputs'!L23*'Model inputs'!B31</f>
        <v>255.00000000000003</v>
      </c>
      <c r="M22" s="9">
        <f>'Model inputs'!M23*'Model inputs'!B31</f>
        <v>255.00000000000003</v>
      </c>
      <c r="N22" s="9">
        <f>'Model inputs'!N23*'Model inputs'!B31</f>
        <v>255.00000000000003</v>
      </c>
      <c r="O22" s="9">
        <f>'Model inputs'!O23*'Model inputs'!B31</f>
        <v>255.00000000000003</v>
      </c>
      <c r="P22" s="9">
        <f>'Model inputs'!P23*'Model inputs'!B31</f>
        <v>255.00000000000003</v>
      </c>
      <c r="Q22" s="9">
        <f>'Model inputs'!Q23*'Model inputs'!B31</f>
        <v>255.00000000000003</v>
      </c>
      <c r="R22" s="9">
        <f>'Model inputs'!R23*'Model inputs'!B31</f>
        <v>255.00000000000003</v>
      </c>
      <c r="S22" s="9">
        <f>'Model inputs'!S23*'Model inputs'!B31</f>
        <v>255.00000000000003</v>
      </c>
      <c r="T22" s="9">
        <f>'Model inputs'!T23*'Model inputs'!B31</f>
        <v>255.00000000000003</v>
      </c>
      <c r="U22" s="9">
        <f>'Model inputs'!U23*'Model inputs'!B31</f>
        <v>255.00000000000003</v>
      </c>
      <c r="V22" s="9">
        <f>'Model inputs'!V23*'Model inputs'!B31</f>
        <v>255.00000000000003</v>
      </c>
      <c r="W22" s="9">
        <f>'Model inputs'!W23*'Model inputs'!B31</f>
        <v>255.00000000000003</v>
      </c>
      <c r="X22" s="9">
        <f>'Model inputs'!X23*'Model inputs'!B31</f>
        <v>255.00000000000003</v>
      </c>
      <c r="Y22" s="9">
        <f>'Model inputs'!Y23*'Model inputs'!B31</f>
        <v>255.00000000000003</v>
      </c>
      <c r="Z22" s="9">
        <f>'Model inputs'!Z23*'Model inputs'!B31</f>
        <v>255.00000000000003</v>
      </c>
      <c r="AA22" s="9">
        <f>'Model inputs'!AA23*'Model inputs'!B31</f>
        <v>255.00000000000003</v>
      </c>
      <c r="AB22" s="9">
        <v>0</v>
      </c>
    </row>
    <row r="23">
      <c r="A23" t="inlineStr" s="15">
        <is>
          <t xml:space="preserve">Verified fixes</t>
        </is>
      </c>
      <c r="C23" s="9">
        <v>0</v>
      </c>
      <c r="D23" s="9">
        <f>'Model inputs'!D24*'Model inputs'!B33</f>
        <v>0</v>
      </c>
      <c r="E23" s="9">
        <f>'Model inputs'!E24*'Model inputs'!B33</f>
        <v>750</v>
      </c>
      <c r="F23" s="9">
        <f>'Model inputs'!F24*'Model inputs'!B33</f>
        <v>750</v>
      </c>
      <c r="G23" s="9">
        <f>'Model inputs'!G24*'Model inputs'!B33</f>
        <v>750</v>
      </c>
      <c r="H23" s="9">
        <f>'Model inputs'!H24*'Model inputs'!B33</f>
        <v>750</v>
      </c>
      <c r="I23" s="9">
        <f>'Model inputs'!I24*'Model inputs'!B33</f>
        <v>750</v>
      </c>
      <c r="J23" s="9">
        <f>'Model inputs'!J24*'Model inputs'!B33</f>
        <v>750</v>
      </c>
      <c r="K23" s="9">
        <f>'Model inputs'!K24*'Model inputs'!B33</f>
        <v>750</v>
      </c>
      <c r="L23" s="9">
        <f>'Model inputs'!L24*'Model inputs'!B33</f>
        <v>750</v>
      </c>
      <c r="M23" s="9">
        <f>'Model inputs'!M24*'Model inputs'!B33</f>
        <v>750</v>
      </c>
      <c r="N23" s="9">
        <f>'Model inputs'!N24*'Model inputs'!B33</f>
        <v>750</v>
      </c>
      <c r="O23" s="9">
        <f>'Model inputs'!O24*'Model inputs'!B33</f>
        <v>750</v>
      </c>
      <c r="P23" s="9">
        <f>'Model inputs'!P24*'Model inputs'!B33</f>
        <v>750</v>
      </c>
      <c r="Q23" s="9">
        <f>'Model inputs'!Q24*'Model inputs'!B33</f>
        <v>750</v>
      </c>
      <c r="R23" s="9">
        <f>'Model inputs'!R24*'Model inputs'!B33</f>
        <v>750</v>
      </c>
      <c r="S23" s="9">
        <f>'Model inputs'!S24*'Model inputs'!B33</f>
        <v>750</v>
      </c>
      <c r="T23" s="9">
        <f>'Model inputs'!T24*'Model inputs'!B33</f>
        <v>750</v>
      </c>
      <c r="U23" s="9">
        <f>'Model inputs'!U24*'Model inputs'!B33</f>
        <v>750</v>
      </c>
      <c r="V23" s="9">
        <f>'Model inputs'!V24*'Model inputs'!B33</f>
        <v>750</v>
      </c>
      <c r="W23" s="9">
        <f>'Model inputs'!W24*'Model inputs'!B33</f>
        <v>750</v>
      </c>
      <c r="X23" s="9">
        <f>'Model inputs'!X24*'Model inputs'!B33</f>
        <v>750</v>
      </c>
      <c r="Y23" s="9">
        <f>'Model inputs'!Y24*'Model inputs'!B33</f>
        <v>750</v>
      </c>
      <c r="Z23" s="9">
        <f>'Model inputs'!Z24*'Model inputs'!B33</f>
        <v>750</v>
      </c>
      <c r="AA23" s="9">
        <f>'Model inputs'!AA24*'Model inputs'!B33</f>
        <v>750</v>
      </c>
      <c r="AB23" s="9">
        <v>0</v>
      </c>
    </row>
    <row r="24">
      <c r="A24" t="inlineStr" s="15">
        <is>
          <t xml:space="preserve">Jobs attempted · Cash &amp; runway</t>
        </is>
      </c>
      <c r="C24" s="9">
        <v>0</v>
      </c>
      <c r="D24" s="9">
        <f>IF(IF(IF(ISERROR('Model inputs'!D37&lt;1),'Model inputs'!D37&lt;1,IF('Model inputs'!D37="","",'Model inputs'!D37&lt;1))="",FALSE,IF(ISERROR('Model inputs'!D37&lt;1),'Model inputs'!D37&lt;1,IF('Model inputs'!D37="","",'Model inputs'!D37&lt;1))),0,'Model inputs'!B35*IF(AND((1+'Model inputs'!B36)=0,(MIN('Model inputs'!D37,'Model inputs'!B34)-1)=0),SQRT(-1),(1+'Model inputs'!B36)^(MIN('Model inputs'!D37,'Model inputs'!B34)-1))*'Model inputs'!B38)</f>
        <v>0</v>
      </c>
      <c r="E24" s="9">
        <f>IF(IF(IF(ISERROR('Model inputs'!E37&lt;1),'Model inputs'!E37&lt;1,IF('Model inputs'!E37="","",'Model inputs'!E37&lt;1))="",FALSE,IF(ISERROR('Model inputs'!E37&lt;1),'Model inputs'!E37&lt;1,IF('Model inputs'!E37="","",'Model inputs'!E37&lt;1))),0,'Model inputs'!B35*IF(AND((1+'Model inputs'!B36)=0,(MIN('Model inputs'!E37,'Model inputs'!B34)-1)=0),SQRT(-1),(1+'Model inputs'!B36)^(MIN('Model inputs'!E37,'Model inputs'!B34)-1))*'Model inputs'!B38)</f>
        <v>1000</v>
      </c>
      <c r="F24" s="9">
        <f>IF(IF(IF(ISERROR('Model inputs'!F37&lt;1),'Model inputs'!F37&lt;1,IF('Model inputs'!F37="","",'Model inputs'!F37&lt;1))="",FALSE,IF(ISERROR('Model inputs'!F37&lt;1),'Model inputs'!F37&lt;1,IF('Model inputs'!F37="","",'Model inputs'!F37&lt;1))),0,'Model inputs'!B35*IF(AND((1+'Model inputs'!B36)=0,(MIN('Model inputs'!F37,'Model inputs'!B34)-1)=0),SQRT(-1),(1+'Model inputs'!B36)^(MIN('Model inputs'!F37,'Model inputs'!B34)-1))*'Model inputs'!B38)</f>
        <v>1000</v>
      </c>
      <c r="G24" s="9">
        <f>IF(IF(IF(ISERROR('Model inputs'!G37&lt;1),'Model inputs'!G37&lt;1,IF('Model inputs'!G37="","",'Model inputs'!G37&lt;1))="",FALSE,IF(ISERROR('Model inputs'!G37&lt;1),'Model inputs'!G37&lt;1,IF('Model inputs'!G37="","",'Model inputs'!G37&lt;1))),0,'Model inputs'!B35*IF(AND((1+'Model inputs'!B36)=0,(MIN('Model inputs'!G37,'Model inputs'!B34)-1)=0),SQRT(-1),(1+'Model inputs'!B36)^(MIN('Model inputs'!G37,'Model inputs'!B34)-1))*'Model inputs'!B38)</f>
        <v>1000</v>
      </c>
      <c r="H24" s="9">
        <f>IF(IF(IF(ISERROR('Model inputs'!H37&lt;1),'Model inputs'!H37&lt;1,IF('Model inputs'!H37="","",'Model inputs'!H37&lt;1))="",FALSE,IF(ISERROR('Model inputs'!H37&lt;1),'Model inputs'!H37&lt;1,IF('Model inputs'!H37="","",'Model inputs'!H37&lt;1))),0,'Model inputs'!B35*IF(AND((1+'Model inputs'!B36)=0,(MIN('Model inputs'!H37,'Model inputs'!B34)-1)=0),SQRT(-1),(1+'Model inputs'!B36)^(MIN('Model inputs'!H37,'Model inputs'!B34)-1))*'Model inputs'!B38)</f>
        <v>1000</v>
      </c>
      <c r="I24" s="9">
        <f>IF(IF(IF(ISERROR('Model inputs'!I37&lt;1),'Model inputs'!I37&lt;1,IF('Model inputs'!I37="","",'Model inputs'!I37&lt;1))="",FALSE,IF(ISERROR('Model inputs'!I37&lt;1),'Model inputs'!I37&lt;1,IF('Model inputs'!I37="","",'Model inputs'!I37&lt;1))),0,'Model inputs'!B35*IF(AND((1+'Model inputs'!B36)=0,(MIN('Model inputs'!I37,'Model inputs'!B34)-1)=0),SQRT(-1),(1+'Model inputs'!B36)^(MIN('Model inputs'!I37,'Model inputs'!B34)-1))*'Model inputs'!B38)</f>
        <v>1000</v>
      </c>
      <c r="J24" s="9">
        <f>IF(IF(IF(ISERROR('Model inputs'!J37&lt;1),'Model inputs'!J37&lt;1,IF('Model inputs'!J37="","",'Model inputs'!J37&lt;1))="",FALSE,IF(ISERROR('Model inputs'!J37&lt;1),'Model inputs'!J37&lt;1,IF('Model inputs'!J37="","",'Model inputs'!J37&lt;1))),0,'Model inputs'!B35*IF(AND((1+'Model inputs'!B36)=0,(MIN('Model inputs'!J37,'Model inputs'!B34)-1)=0),SQRT(-1),(1+'Model inputs'!B36)^(MIN('Model inputs'!J37,'Model inputs'!B34)-1))*'Model inputs'!B38)</f>
        <v>1000</v>
      </c>
      <c r="K24" s="9">
        <f>IF(IF(IF(ISERROR('Model inputs'!K37&lt;1),'Model inputs'!K37&lt;1,IF('Model inputs'!K37="","",'Model inputs'!K37&lt;1))="",FALSE,IF(ISERROR('Model inputs'!K37&lt;1),'Model inputs'!K37&lt;1,IF('Model inputs'!K37="","",'Model inputs'!K37&lt;1))),0,'Model inputs'!B35*IF(AND((1+'Model inputs'!B36)=0,(MIN('Model inputs'!K37,'Model inputs'!B34)-1)=0),SQRT(-1),(1+'Model inputs'!B36)^(MIN('Model inputs'!K37,'Model inputs'!B34)-1))*'Model inputs'!B38)</f>
        <v>1000</v>
      </c>
      <c r="L24" s="9">
        <f>IF(IF(IF(ISERROR('Model inputs'!L37&lt;1),'Model inputs'!L37&lt;1,IF('Model inputs'!L37="","",'Model inputs'!L37&lt;1))="",FALSE,IF(ISERROR('Model inputs'!L37&lt;1),'Model inputs'!L37&lt;1,IF('Model inputs'!L37="","",'Model inputs'!L37&lt;1))),0,'Model inputs'!B35*IF(AND((1+'Model inputs'!B36)=0,(MIN('Model inputs'!L37,'Model inputs'!B34)-1)=0),SQRT(-1),(1+'Model inputs'!B36)^(MIN('Model inputs'!L37,'Model inputs'!B34)-1))*'Model inputs'!B38)</f>
        <v>1000</v>
      </c>
      <c r="M24" s="9">
        <f>IF(IF(IF(ISERROR('Model inputs'!M37&lt;1),'Model inputs'!M37&lt;1,IF('Model inputs'!M37="","",'Model inputs'!M37&lt;1))="",FALSE,IF(ISERROR('Model inputs'!M37&lt;1),'Model inputs'!M37&lt;1,IF('Model inputs'!M37="","",'Model inputs'!M37&lt;1))),0,'Model inputs'!B35*IF(AND((1+'Model inputs'!B36)=0,(MIN('Model inputs'!M37,'Model inputs'!B34)-1)=0),SQRT(-1),(1+'Model inputs'!B36)^(MIN('Model inputs'!M37,'Model inputs'!B34)-1))*'Model inputs'!B38)</f>
        <v>1000</v>
      </c>
      <c r="N24" s="9">
        <f>IF(IF(IF(ISERROR('Model inputs'!N37&lt;1),'Model inputs'!N37&lt;1,IF('Model inputs'!N37="","",'Model inputs'!N37&lt;1))="",FALSE,IF(ISERROR('Model inputs'!N37&lt;1),'Model inputs'!N37&lt;1,IF('Model inputs'!N37="","",'Model inputs'!N37&lt;1))),0,'Model inputs'!B35*IF(AND((1+'Model inputs'!B36)=0,(MIN('Model inputs'!N37,'Model inputs'!B34)-1)=0),SQRT(-1),(1+'Model inputs'!B36)^(MIN('Model inputs'!N37,'Model inputs'!B34)-1))*'Model inputs'!B38)</f>
        <v>1000</v>
      </c>
      <c r="O24" s="9">
        <f>IF(IF(IF(ISERROR('Model inputs'!O37&lt;1),'Model inputs'!O37&lt;1,IF('Model inputs'!O37="","",'Model inputs'!O37&lt;1))="",FALSE,IF(ISERROR('Model inputs'!O37&lt;1),'Model inputs'!O37&lt;1,IF('Model inputs'!O37="","",'Model inputs'!O37&lt;1))),0,'Model inputs'!B35*IF(AND((1+'Model inputs'!B36)=0,(MIN('Model inputs'!O37,'Model inputs'!B34)-1)=0),SQRT(-1),(1+'Model inputs'!B36)^(MIN('Model inputs'!O37,'Model inputs'!B34)-1))*'Model inputs'!B38)</f>
        <v>1000</v>
      </c>
      <c r="P24" s="9">
        <f>IF(IF(IF(ISERROR('Model inputs'!P37&lt;1),'Model inputs'!P37&lt;1,IF('Model inputs'!P37="","",'Model inputs'!P37&lt;1))="",FALSE,IF(ISERROR('Model inputs'!P37&lt;1),'Model inputs'!P37&lt;1,IF('Model inputs'!P37="","",'Model inputs'!P37&lt;1))),0,'Model inputs'!B35*IF(AND((1+'Model inputs'!B36)=0,(MIN('Model inputs'!P37,'Model inputs'!B34)-1)=0),SQRT(-1),(1+'Model inputs'!B36)^(MIN('Model inputs'!P37,'Model inputs'!B34)-1))*'Model inputs'!B38)</f>
        <v>1000</v>
      </c>
      <c r="Q24" s="9">
        <f>IF(IF(IF(ISERROR('Model inputs'!Q37&lt;1),'Model inputs'!Q37&lt;1,IF('Model inputs'!Q37="","",'Model inputs'!Q37&lt;1))="",FALSE,IF(ISERROR('Model inputs'!Q37&lt;1),'Model inputs'!Q37&lt;1,IF('Model inputs'!Q37="","",'Model inputs'!Q37&lt;1))),0,'Model inputs'!B35*IF(AND((1+'Model inputs'!B36)=0,(MIN('Model inputs'!Q37,'Model inputs'!B34)-1)=0),SQRT(-1),(1+'Model inputs'!B36)^(MIN('Model inputs'!Q37,'Model inputs'!B34)-1))*'Model inputs'!B38)</f>
        <v>1000</v>
      </c>
      <c r="R24" s="9">
        <f>IF(IF(IF(ISERROR('Model inputs'!R37&lt;1),'Model inputs'!R37&lt;1,IF('Model inputs'!R37="","",'Model inputs'!R37&lt;1))="",FALSE,IF(ISERROR('Model inputs'!R37&lt;1),'Model inputs'!R37&lt;1,IF('Model inputs'!R37="","",'Model inputs'!R37&lt;1))),0,'Model inputs'!B35*IF(AND((1+'Model inputs'!B36)=0,(MIN('Model inputs'!R37,'Model inputs'!B34)-1)=0),SQRT(-1),(1+'Model inputs'!B36)^(MIN('Model inputs'!R37,'Model inputs'!B34)-1))*'Model inputs'!B38)</f>
        <v>1000</v>
      </c>
      <c r="S24" s="9">
        <f>IF(IF(IF(ISERROR('Model inputs'!S37&lt;1),'Model inputs'!S37&lt;1,IF('Model inputs'!S37="","",'Model inputs'!S37&lt;1))="",FALSE,IF(ISERROR('Model inputs'!S37&lt;1),'Model inputs'!S37&lt;1,IF('Model inputs'!S37="","",'Model inputs'!S37&lt;1))),0,'Model inputs'!B35*IF(AND((1+'Model inputs'!B36)=0,(MIN('Model inputs'!S37,'Model inputs'!B34)-1)=0),SQRT(-1),(1+'Model inputs'!B36)^(MIN('Model inputs'!S37,'Model inputs'!B34)-1))*'Model inputs'!B38)</f>
        <v>1000</v>
      </c>
      <c r="T24" s="9">
        <f>IF(IF(IF(ISERROR('Model inputs'!T37&lt;1),'Model inputs'!T37&lt;1,IF('Model inputs'!T37="","",'Model inputs'!T37&lt;1))="",FALSE,IF(ISERROR('Model inputs'!T37&lt;1),'Model inputs'!T37&lt;1,IF('Model inputs'!T37="","",'Model inputs'!T37&lt;1))),0,'Model inputs'!B35*IF(AND((1+'Model inputs'!B36)=0,(MIN('Model inputs'!T37,'Model inputs'!B34)-1)=0),SQRT(-1),(1+'Model inputs'!B36)^(MIN('Model inputs'!T37,'Model inputs'!B34)-1))*'Model inputs'!B38)</f>
        <v>1000</v>
      </c>
      <c r="U24" s="9">
        <f>IF(IF(IF(ISERROR('Model inputs'!U37&lt;1),'Model inputs'!U37&lt;1,IF('Model inputs'!U37="","",'Model inputs'!U37&lt;1))="",FALSE,IF(ISERROR('Model inputs'!U37&lt;1),'Model inputs'!U37&lt;1,IF('Model inputs'!U37="","",'Model inputs'!U37&lt;1))),0,'Model inputs'!B35*IF(AND((1+'Model inputs'!B36)=0,(MIN('Model inputs'!U37,'Model inputs'!B34)-1)=0),SQRT(-1),(1+'Model inputs'!B36)^(MIN('Model inputs'!U37,'Model inputs'!B34)-1))*'Model inputs'!B38)</f>
        <v>1000</v>
      </c>
      <c r="V24" s="9">
        <f>IF(IF(IF(ISERROR('Model inputs'!V37&lt;1),'Model inputs'!V37&lt;1,IF('Model inputs'!V37="","",'Model inputs'!V37&lt;1))="",FALSE,IF(ISERROR('Model inputs'!V37&lt;1),'Model inputs'!V37&lt;1,IF('Model inputs'!V37="","",'Model inputs'!V37&lt;1))),0,'Model inputs'!B35*IF(AND((1+'Model inputs'!B36)=0,(MIN('Model inputs'!V37,'Model inputs'!B34)-1)=0),SQRT(-1),(1+'Model inputs'!B36)^(MIN('Model inputs'!V37,'Model inputs'!B34)-1))*'Model inputs'!B38)</f>
        <v>1000</v>
      </c>
      <c r="W24" s="9">
        <f>IF(IF(IF(ISERROR('Model inputs'!W37&lt;1),'Model inputs'!W37&lt;1,IF('Model inputs'!W37="","",'Model inputs'!W37&lt;1))="",FALSE,IF(ISERROR('Model inputs'!W37&lt;1),'Model inputs'!W37&lt;1,IF('Model inputs'!W37="","",'Model inputs'!W37&lt;1))),0,'Model inputs'!B35*IF(AND((1+'Model inputs'!B36)=0,(MIN('Model inputs'!W37,'Model inputs'!B34)-1)=0),SQRT(-1),(1+'Model inputs'!B36)^(MIN('Model inputs'!W37,'Model inputs'!B34)-1))*'Model inputs'!B38)</f>
        <v>1000</v>
      </c>
      <c r="X24" s="9">
        <f>IF(IF(IF(ISERROR('Model inputs'!X37&lt;1),'Model inputs'!X37&lt;1,IF('Model inputs'!X37="","",'Model inputs'!X37&lt;1))="",FALSE,IF(ISERROR('Model inputs'!X37&lt;1),'Model inputs'!X37&lt;1,IF('Model inputs'!X37="","",'Model inputs'!X37&lt;1))),0,'Model inputs'!B35*IF(AND((1+'Model inputs'!B36)=0,(MIN('Model inputs'!X37,'Model inputs'!B34)-1)=0),SQRT(-1),(1+'Model inputs'!B36)^(MIN('Model inputs'!X37,'Model inputs'!B34)-1))*'Model inputs'!B38)</f>
        <v>1000</v>
      </c>
      <c r="Y24" s="9">
        <f>IF(IF(IF(ISERROR('Model inputs'!Y37&lt;1),'Model inputs'!Y37&lt;1,IF('Model inputs'!Y37="","",'Model inputs'!Y37&lt;1))="",FALSE,IF(ISERROR('Model inputs'!Y37&lt;1),'Model inputs'!Y37&lt;1,IF('Model inputs'!Y37="","",'Model inputs'!Y37&lt;1))),0,'Model inputs'!B35*IF(AND((1+'Model inputs'!B36)=0,(MIN('Model inputs'!Y37,'Model inputs'!B34)-1)=0),SQRT(-1),(1+'Model inputs'!B36)^(MIN('Model inputs'!Y37,'Model inputs'!B34)-1))*'Model inputs'!B38)</f>
        <v>1000</v>
      </c>
      <c r="Z24" s="9">
        <f>IF(IF(IF(ISERROR('Model inputs'!Z37&lt;1),'Model inputs'!Z37&lt;1,IF('Model inputs'!Z37="","",'Model inputs'!Z37&lt;1))="",FALSE,IF(ISERROR('Model inputs'!Z37&lt;1),'Model inputs'!Z37&lt;1,IF('Model inputs'!Z37="","",'Model inputs'!Z37&lt;1))),0,'Model inputs'!B35*IF(AND((1+'Model inputs'!B36)=0,(MIN('Model inputs'!Z37,'Model inputs'!B34)-1)=0),SQRT(-1),(1+'Model inputs'!B36)^(MIN('Model inputs'!Z37,'Model inputs'!B34)-1))*'Model inputs'!B38)</f>
        <v>1000</v>
      </c>
      <c r="AA24" s="9">
        <f>IF(IF(IF(ISERROR('Model inputs'!AA37&lt;1),'Model inputs'!AA37&lt;1,IF('Model inputs'!AA37="","",'Model inputs'!AA37&lt;1))="",FALSE,IF(ISERROR('Model inputs'!AA37&lt;1),'Model inputs'!AA37&lt;1,IF('Model inputs'!AA37="","",'Model inputs'!AA37&lt;1))),0,'Model inputs'!B35*IF(AND((1+'Model inputs'!B36)=0,(MIN('Model inputs'!AA37,'Model inputs'!B34)-1)=0),SQRT(-1),(1+'Model inputs'!B36)^(MIN('Model inputs'!AA37,'Model inputs'!B34)-1))*'Model inputs'!B38)</f>
        <v>1000</v>
      </c>
      <c r="AB24" s="9">
        <v>0</v>
      </c>
    </row>
    <row r="25">
      <c r="A25" t="inlineStr" s="15">
        <is>
          <t xml:space="preserve">Monthly fixed cost</t>
        </is>
      </c>
      <c r="B25" s="7">
        <v>0</v>
      </c>
    </row>
    <row r="26" outlineLevel="1">
      <c r="A26" t="inlineStr" s="16">
        <is>
          <t xml:space="preserve">Monthly fixed cost &gt; Accounting, legal &amp; misc</t>
        </is>
      </c>
      <c r="B26" s="9">
        <f>50</f>
        <v>50</v>
      </c>
    </row>
    <row r="27" outlineLevel="1">
      <c r="A27" t="inlineStr" s="16">
        <is>
          <t xml:space="preserve">Monthly fixed cost &gt; Hosting</t>
        </is>
      </c>
      <c r="B27" s="9">
        <f>40</f>
        <v>40</v>
      </c>
    </row>
    <row r="28" outlineLevel="1">
      <c r="A28" t="inlineStr" s="16">
        <is>
          <t xml:space="preserve">Monthly fixed cost &gt; Observability</t>
        </is>
      </c>
      <c r="B28" s="9">
        <f>50</f>
        <v>50</v>
      </c>
    </row>
    <row r="29" outlineLevel="1">
      <c r="A29" t="inlineStr" s="16">
        <is>
          <t xml:space="preserve">Monthly fixed cost &gt; Tooling &amp; misc</t>
        </is>
      </c>
      <c r="B29" s="9">
        <f>30</f>
        <v>30</v>
      </c>
    </row>
    <row r="30">
      <c r="A30" t="inlineStr" s="15">
        <is>
          <t xml:space="preserve">Payment processing</t>
        </is>
      </c>
      <c r="D30" s="9">
        <f>'Model inputs'!D22*'Model inputs'!B21</f>
        <v>0</v>
      </c>
      <c r="E30" s="9">
        <f>'Model inputs'!E22*'Model inputs'!B21</f>
        <v>7.65</v>
      </c>
      <c r="F30" s="9">
        <f>'Model inputs'!F22*'Model inputs'!B21</f>
        <v>7.65</v>
      </c>
      <c r="G30" s="9">
        <f>'Model inputs'!G22*'Model inputs'!B21</f>
        <v>7.65</v>
      </c>
      <c r="H30" s="9">
        <f>'Model inputs'!H22*'Model inputs'!B21</f>
        <v>7.65</v>
      </c>
      <c r="I30" s="9">
        <f>'Model inputs'!I22*'Model inputs'!B21</f>
        <v>7.65</v>
      </c>
      <c r="J30" s="9">
        <f>'Model inputs'!J22*'Model inputs'!B21</f>
        <v>7.65</v>
      </c>
      <c r="K30" s="9">
        <f>'Model inputs'!K22*'Model inputs'!B21</f>
        <v>7.65</v>
      </c>
      <c r="L30" s="9">
        <f>'Model inputs'!L22*'Model inputs'!B21</f>
        <v>7.65</v>
      </c>
      <c r="M30" s="9">
        <f>'Model inputs'!M22*'Model inputs'!B21</f>
        <v>7.65</v>
      </c>
      <c r="N30" s="9">
        <f>'Model inputs'!N22*'Model inputs'!B21</f>
        <v>7.65</v>
      </c>
      <c r="O30" s="9">
        <f>'Model inputs'!O22*'Model inputs'!B21</f>
        <v>7.65</v>
      </c>
      <c r="P30" s="9">
        <f>'Model inputs'!P22*'Model inputs'!B21</f>
        <v>7.65</v>
      </c>
      <c r="Q30" s="9">
        <f>'Model inputs'!Q22*'Model inputs'!B21</f>
        <v>7.65</v>
      </c>
      <c r="R30" s="9">
        <f>'Model inputs'!R22*'Model inputs'!B21</f>
        <v>7.65</v>
      </c>
      <c r="S30" s="9">
        <f>'Model inputs'!S22*'Model inputs'!B21</f>
        <v>7.65</v>
      </c>
      <c r="T30" s="9">
        <f>'Model inputs'!T22*'Model inputs'!B21</f>
        <v>7.65</v>
      </c>
      <c r="U30" s="9">
        <f>'Model inputs'!U22*'Model inputs'!B21</f>
        <v>7.65</v>
      </c>
      <c r="V30" s="9">
        <f>'Model inputs'!V22*'Model inputs'!B21</f>
        <v>7.65</v>
      </c>
      <c r="W30" s="9">
        <f>'Model inputs'!W22*'Model inputs'!B21</f>
        <v>7.65</v>
      </c>
      <c r="X30" s="9">
        <f>'Model inputs'!X22*'Model inputs'!B21</f>
        <v>7.65</v>
      </c>
      <c r="Y30" s="9">
        <f>'Model inputs'!Y22*'Model inputs'!B21</f>
        <v>7.65</v>
      </c>
      <c r="Z30" s="9">
        <f>'Model inputs'!Z22*'Model inputs'!B21</f>
        <v>7.65</v>
      </c>
      <c r="AA30" s="9">
        <f>'Model inputs'!AA22*'Model inputs'!B21</f>
        <v>7.65</v>
      </c>
    </row>
    <row r="31">
      <c r="A31" t="inlineStr" s="15">
        <is>
          <t xml:space="preserve">Price per verified fix · Revenue</t>
        </is>
      </c>
      <c r="B31" s="9">
        <f>0.34</f>
        <v>0.34</v>
      </c>
    </row>
    <row r="32">
      <c r="A32" t="inlineStr" s="15">
        <is>
          <t xml:space="preserve">Starting cash</t>
        </is>
      </c>
      <c r="B32" s="9">
        <f>3000</f>
        <v>3000</v>
      </c>
    </row>
    <row r="33">
      <c r="A33" t="inlineStr" s="15">
        <is>
          <t xml:space="preserve">Verification rate · Verified fixes</t>
        </is>
      </c>
      <c r="B33" s="9">
        <f>0.75</f>
        <v>0.75</v>
      </c>
    </row>
    <row r="34">
      <c r="A34" t="inlineStr" s="15">
        <is>
          <t xml:space="preserve">Growth months · Jobs attempted · Cash &amp; runway</t>
        </is>
      </c>
      <c r="B34" s="9">
        <f>12</f>
        <v>12</v>
      </c>
    </row>
    <row r="35">
      <c r="A35" t="inlineStr" s="15">
        <is>
          <t xml:space="preserve">Launch month jobs · Jobs attempted · Cash &amp; runway</t>
        </is>
      </c>
      <c r="B35" s="9">
        <f>1000</f>
        <v>1000</v>
      </c>
    </row>
    <row r="36">
      <c r="A36" t="inlineStr" s="15">
        <is>
          <t xml:space="preserve">Monthly job growth · Jobs attempted · Cash &amp; runway</t>
        </is>
      </c>
      <c r="B36" s="9">
        <f>0</f>
        <v>0</v>
      </c>
    </row>
    <row r="37">
      <c r="A37" t="inlineStr" s="15">
        <is>
          <t xml:space="preserve">Months since launch · Cash &amp; runway</t>
        </is>
      </c>
      <c r="C37" s="9">
        <v>0</v>
      </c>
      <c r="D37" s="9">
        <f>IF(IF(IF(ISERROR(DATE(2026,10,1)&lt;DATE(YEAR('Model inputs'!B39),MONTH('Model inputs'!B39),1)),DATE(2026,10,1)&lt;DATE(YEAR('Model inputs'!B39),MONTH('Model inputs'!B39),1),IF(DATE(YEAR('Model inputs'!B39),MONTH('Model inputs'!B39),1)="","",DATE(2026,10,1)&lt;DATE(YEAR('Model inputs'!B39),MONTH('Model inputs'!B39),1)))="",FALSE,IF(ISERROR(DATE(2026,10,1)&lt;DATE(YEAR('Model inputs'!B39),MONTH('Model inputs'!B39),1)),DATE(2026,10,1)&lt;DATE(YEAR('Model inputs'!B39),MONTH('Model inputs'!B39),1),IF(DATE(YEAR('Model inputs'!B39),MONTH('Model inputs'!B39),1)="","",DATE(2026,10,1)&lt;DATE(YEAR('Model inputs'!B39),MONTH('Model inputs'!B39),1)))),0,IFERROR(DATEDIF(DATE(YEAR('Model inputs'!B39),MONTH('Model inputs'!B39),1),DATE(2026,10,1),"M"),0)+1)</f>
        <v>0</v>
      </c>
      <c r="E37" s="9">
        <f>IF(IF(IF(ISERROR(DATE(2026,11,1)&lt;DATE(YEAR('Model inputs'!B39),MONTH('Model inputs'!B39),1)),DATE(2026,11,1)&lt;DATE(YEAR('Model inputs'!B39),MONTH('Model inputs'!B39),1),IF(DATE(YEAR('Model inputs'!B39),MONTH('Model inputs'!B39),1)="","",DATE(2026,11,1)&lt;DATE(YEAR('Model inputs'!B39),MONTH('Model inputs'!B39),1)))="",FALSE,IF(ISERROR(DATE(2026,11,1)&lt;DATE(YEAR('Model inputs'!B39),MONTH('Model inputs'!B39),1)),DATE(2026,11,1)&lt;DATE(YEAR('Model inputs'!B39),MONTH('Model inputs'!B39),1),IF(DATE(YEAR('Model inputs'!B39),MONTH('Model inputs'!B39),1)="","",DATE(2026,11,1)&lt;DATE(YEAR('Model inputs'!B39),MONTH('Model inputs'!B39),1)))),0,IFERROR(DATEDIF(DATE(YEAR('Model inputs'!B39),MONTH('Model inputs'!B39),1),DATE(2026,11,1),"M"),0)+1)</f>
        <v>1</v>
      </c>
      <c r="F37" s="9">
        <f>IF(IF(IF(ISERROR(DATE(2026,12,1)&lt;DATE(YEAR('Model inputs'!B39),MONTH('Model inputs'!B39),1)),DATE(2026,12,1)&lt;DATE(YEAR('Model inputs'!B39),MONTH('Model inputs'!B39),1),IF(DATE(YEAR('Model inputs'!B39),MONTH('Model inputs'!B39),1)="","",DATE(2026,12,1)&lt;DATE(YEAR('Model inputs'!B39),MONTH('Model inputs'!B39),1)))="",FALSE,IF(ISERROR(DATE(2026,12,1)&lt;DATE(YEAR('Model inputs'!B39),MONTH('Model inputs'!B39),1)),DATE(2026,12,1)&lt;DATE(YEAR('Model inputs'!B39),MONTH('Model inputs'!B39),1),IF(DATE(YEAR('Model inputs'!B39),MONTH('Model inputs'!B39),1)="","",DATE(2026,12,1)&lt;DATE(YEAR('Model inputs'!B39),MONTH('Model inputs'!B39),1)))),0,IFERROR(DATEDIF(DATE(YEAR('Model inputs'!B39),MONTH('Model inputs'!B39),1),DATE(2026,12,1),"M"),0)+1)</f>
        <v>2</v>
      </c>
      <c r="G37" s="9">
        <f>IF(IF(IF(ISERROR(DATE(2027,1,1)&lt;DATE(YEAR('Model inputs'!B39),MONTH('Model inputs'!B39),1)),DATE(2027,1,1)&lt;DATE(YEAR('Model inputs'!B39),MONTH('Model inputs'!B39),1),IF(DATE(YEAR('Model inputs'!B39),MONTH('Model inputs'!B39),1)="","",DATE(2027,1,1)&lt;DATE(YEAR('Model inputs'!B39),MONTH('Model inputs'!B39),1)))="",FALSE,IF(ISERROR(DATE(2027,1,1)&lt;DATE(YEAR('Model inputs'!B39),MONTH('Model inputs'!B39),1)),DATE(2027,1,1)&lt;DATE(YEAR('Model inputs'!B39),MONTH('Model inputs'!B39),1),IF(DATE(YEAR('Model inputs'!B39),MONTH('Model inputs'!B39),1)="","",DATE(2027,1,1)&lt;DATE(YEAR('Model inputs'!B39),MONTH('Model inputs'!B39),1)))),0,IFERROR(DATEDIF(DATE(YEAR('Model inputs'!B39),MONTH('Model inputs'!B39),1),DATE(2027,1,1),"M"),0)+1)</f>
        <v>3</v>
      </c>
      <c r="H37" s="9">
        <f>IF(IF(IF(ISERROR(DATE(2027,2,1)&lt;DATE(YEAR('Model inputs'!B39),MONTH('Model inputs'!B39),1)),DATE(2027,2,1)&lt;DATE(YEAR('Model inputs'!B39),MONTH('Model inputs'!B39),1),IF(DATE(YEAR('Model inputs'!B39),MONTH('Model inputs'!B39),1)="","",DATE(2027,2,1)&lt;DATE(YEAR('Model inputs'!B39),MONTH('Model inputs'!B39),1)))="",FALSE,IF(ISERROR(DATE(2027,2,1)&lt;DATE(YEAR('Model inputs'!B39),MONTH('Model inputs'!B39),1)),DATE(2027,2,1)&lt;DATE(YEAR('Model inputs'!B39),MONTH('Model inputs'!B39),1),IF(DATE(YEAR('Model inputs'!B39),MONTH('Model inputs'!B39),1)="","",DATE(2027,2,1)&lt;DATE(YEAR('Model inputs'!B39),MONTH('Model inputs'!B39),1)))),0,IFERROR(DATEDIF(DATE(YEAR('Model inputs'!B39),MONTH('Model inputs'!B39),1),DATE(2027,2,1),"M"),0)+1)</f>
        <v>4</v>
      </c>
      <c r="I37" s="9">
        <f>IF(IF(IF(ISERROR(DATE(2027,3,1)&lt;DATE(YEAR('Model inputs'!B39),MONTH('Model inputs'!B39),1)),DATE(2027,3,1)&lt;DATE(YEAR('Model inputs'!B39),MONTH('Model inputs'!B39),1),IF(DATE(YEAR('Model inputs'!B39),MONTH('Model inputs'!B39),1)="","",DATE(2027,3,1)&lt;DATE(YEAR('Model inputs'!B39),MONTH('Model inputs'!B39),1)))="",FALSE,IF(ISERROR(DATE(2027,3,1)&lt;DATE(YEAR('Model inputs'!B39),MONTH('Model inputs'!B39),1)),DATE(2027,3,1)&lt;DATE(YEAR('Model inputs'!B39),MONTH('Model inputs'!B39),1),IF(DATE(YEAR('Model inputs'!B39),MONTH('Model inputs'!B39),1)="","",DATE(2027,3,1)&lt;DATE(YEAR('Model inputs'!B39),MONTH('Model inputs'!B39),1)))),0,IFERROR(DATEDIF(DATE(YEAR('Model inputs'!B39),MONTH('Model inputs'!B39),1),DATE(2027,3,1),"M"),0)+1)</f>
        <v>5</v>
      </c>
      <c r="J37" s="9">
        <f>IF(IF(IF(ISERROR(DATE(2027,4,1)&lt;DATE(YEAR('Model inputs'!B39),MONTH('Model inputs'!B39),1)),DATE(2027,4,1)&lt;DATE(YEAR('Model inputs'!B39),MONTH('Model inputs'!B39),1),IF(DATE(YEAR('Model inputs'!B39),MONTH('Model inputs'!B39),1)="","",DATE(2027,4,1)&lt;DATE(YEAR('Model inputs'!B39),MONTH('Model inputs'!B39),1)))="",FALSE,IF(ISERROR(DATE(2027,4,1)&lt;DATE(YEAR('Model inputs'!B39),MONTH('Model inputs'!B39),1)),DATE(2027,4,1)&lt;DATE(YEAR('Model inputs'!B39),MONTH('Model inputs'!B39),1),IF(DATE(YEAR('Model inputs'!B39),MONTH('Model inputs'!B39),1)="","",DATE(2027,4,1)&lt;DATE(YEAR('Model inputs'!B39),MONTH('Model inputs'!B39),1)))),0,IFERROR(DATEDIF(DATE(YEAR('Model inputs'!B39),MONTH('Model inputs'!B39),1),DATE(2027,4,1),"M"),0)+1)</f>
        <v>6</v>
      </c>
      <c r="K37" s="9">
        <f>IF(IF(IF(ISERROR(DATE(2027,5,1)&lt;DATE(YEAR('Model inputs'!B39),MONTH('Model inputs'!B39),1)),DATE(2027,5,1)&lt;DATE(YEAR('Model inputs'!B39),MONTH('Model inputs'!B39),1),IF(DATE(YEAR('Model inputs'!B39),MONTH('Model inputs'!B39),1)="","",DATE(2027,5,1)&lt;DATE(YEAR('Model inputs'!B39),MONTH('Model inputs'!B39),1)))="",FALSE,IF(ISERROR(DATE(2027,5,1)&lt;DATE(YEAR('Model inputs'!B39),MONTH('Model inputs'!B39),1)),DATE(2027,5,1)&lt;DATE(YEAR('Model inputs'!B39),MONTH('Model inputs'!B39),1),IF(DATE(YEAR('Model inputs'!B39),MONTH('Model inputs'!B39),1)="","",DATE(2027,5,1)&lt;DATE(YEAR('Model inputs'!B39),MONTH('Model inputs'!B39),1)))),0,IFERROR(DATEDIF(DATE(YEAR('Model inputs'!B39),MONTH('Model inputs'!B39),1),DATE(2027,5,1),"M"),0)+1)</f>
        <v>7</v>
      </c>
      <c r="L37" s="9">
        <f>IF(IF(IF(ISERROR(DATE(2027,6,1)&lt;DATE(YEAR('Model inputs'!B39),MONTH('Model inputs'!B39),1)),DATE(2027,6,1)&lt;DATE(YEAR('Model inputs'!B39),MONTH('Model inputs'!B39),1),IF(DATE(YEAR('Model inputs'!B39),MONTH('Model inputs'!B39),1)="","",DATE(2027,6,1)&lt;DATE(YEAR('Model inputs'!B39),MONTH('Model inputs'!B39),1)))="",FALSE,IF(ISERROR(DATE(2027,6,1)&lt;DATE(YEAR('Model inputs'!B39),MONTH('Model inputs'!B39),1)),DATE(2027,6,1)&lt;DATE(YEAR('Model inputs'!B39),MONTH('Model inputs'!B39),1),IF(DATE(YEAR('Model inputs'!B39),MONTH('Model inputs'!B39),1)="","",DATE(2027,6,1)&lt;DATE(YEAR('Model inputs'!B39),MONTH('Model inputs'!B39),1)))),0,IFERROR(DATEDIF(DATE(YEAR('Model inputs'!B39),MONTH('Model inputs'!B39),1),DATE(2027,6,1),"M"),0)+1)</f>
        <v>8</v>
      </c>
      <c r="M37" s="9">
        <f>IF(IF(IF(ISERROR(DATE(2027,7,1)&lt;DATE(YEAR('Model inputs'!B39),MONTH('Model inputs'!B39),1)),DATE(2027,7,1)&lt;DATE(YEAR('Model inputs'!B39),MONTH('Model inputs'!B39),1),IF(DATE(YEAR('Model inputs'!B39),MONTH('Model inputs'!B39),1)="","",DATE(2027,7,1)&lt;DATE(YEAR('Model inputs'!B39),MONTH('Model inputs'!B39),1)))="",FALSE,IF(ISERROR(DATE(2027,7,1)&lt;DATE(YEAR('Model inputs'!B39),MONTH('Model inputs'!B39),1)),DATE(2027,7,1)&lt;DATE(YEAR('Model inputs'!B39),MONTH('Model inputs'!B39),1),IF(DATE(YEAR('Model inputs'!B39),MONTH('Model inputs'!B39),1)="","",DATE(2027,7,1)&lt;DATE(YEAR('Model inputs'!B39),MONTH('Model inputs'!B39),1)))),0,IFERROR(DATEDIF(DATE(YEAR('Model inputs'!B39),MONTH('Model inputs'!B39),1),DATE(2027,7,1),"M"),0)+1)</f>
        <v>9</v>
      </c>
      <c r="N37" s="9">
        <f>IF(IF(IF(ISERROR(DATE(2027,8,1)&lt;DATE(YEAR('Model inputs'!B39),MONTH('Model inputs'!B39),1)),DATE(2027,8,1)&lt;DATE(YEAR('Model inputs'!B39),MONTH('Model inputs'!B39),1),IF(DATE(YEAR('Model inputs'!B39),MONTH('Model inputs'!B39),1)="","",DATE(2027,8,1)&lt;DATE(YEAR('Model inputs'!B39),MONTH('Model inputs'!B39),1)))="",FALSE,IF(ISERROR(DATE(2027,8,1)&lt;DATE(YEAR('Model inputs'!B39),MONTH('Model inputs'!B39),1)),DATE(2027,8,1)&lt;DATE(YEAR('Model inputs'!B39),MONTH('Model inputs'!B39),1),IF(DATE(YEAR('Model inputs'!B39),MONTH('Model inputs'!B39),1)="","",DATE(2027,8,1)&lt;DATE(YEAR('Model inputs'!B39),MONTH('Model inputs'!B39),1)))),0,IFERROR(DATEDIF(DATE(YEAR('Model inputs'!B39),MONTH('Model inputs'!B39),1),DATE(2027,8,1),"M"),0)+1)</f>
        <v>10</v>
      </c>
      <c r="O37" s="9">
        <f>IF(IF(IF(ISERROR(DATE(2027,9,1)&lt;DATE(YEAR('Model inputs'!B39),MONTH('Model inputs'!B39),1)),DATE(2027,9,1)&lt;DATE(YEAR('Model inputs'!B39),MONTH('Model inputs'!B39),1),IF(DATE(YEAR('Model inputs'!B39),MONTH('Model inputs'!B39),1)="","",DATE(2027,9,1)&lt;DATE(YEAR('Model inputs'!B39),MONTH('Model inputs'!B39),1)))="",FALSE,IF(ISERROR(DATE(2027,9,1)&lt;DATE(YEAR('Model inputs'!B39),MONTH('Model inputs'!B39),1)),DATE(2027,9,1)&lt;DATE(YEAR('Model inputs'!B39),MONTH('Model inputs'!B39),1),IF(DATE(YEAR('Model inputs'!B39),MONTH('Model inputs'!B39),1)="","",DATE(2027,9,1)&lt;DATE(YEAR('Model inputs'!B39),MONTH('Model inputs'!B39),1)))),0,IFERROR(DATEDIF(DATE(YEAR('Model inputs'!B39),MONTH('Model inputs'!B39),1),DATE(2027,9,1),"M"),0)+1)</f>
        <v>11</v>
      </c>
      <c r="P37" s="9">
        <f>IF(IF(IF(ISERROR(DATE(2027,10,1)&lt;DATE(YEAR('Model inputs'!B39),MONTH('Model inputs'!B39),1)),DATE(2027,10,1)&lt;DATE(YEAR('Model inputs'!B39),MONTH('Model inputs'!B39),1),IF(DATE(YEAR('Model inputs'!B39),MONTH('Model inputs'!B39),1)="","",DATE(2027,10,1)&lt;DATE(YEAR('Model inputs'!B39),MONTH('Model inputs'!B39),1)))="",FALSE,IF(ISERROR(DATE(2027,10,1)&lt;DATE(YEAR('Model inputs'!B39),MONTH('Model inputs'!B39),1)),DATE(2027,10,1)&lt;DATE(YEAR('Model inputs'!B39),MONTH('Model inputs'!B39),1),IF(DATE(YEAR('Model inputs'!B39),MONTH('Model inputs'!B39),1)="","",DATE(2027,10,1)&lt;DATE(YEAR('Model inputs'!B39),MONTH('Model inputs'!B39),1)))),0,IFERROR(DATEDIF(DATE(YEAR('Model inputs'!B39),MONTH('Model inputs'!B39),1),DATE(2027,10,1),"M"),0)+1)</f>
        <v>12</v>
      </c>
      <c r="Q37" s="9">
        <f>IF(IF(IF(ISERROR(DATE(2027,11,1)&lt;DATE(YEAR('Model inputs'!B39),MONTH('Model inputs'!B39),1)),DATE(2027,11,1)&lt;DATE(YEAR('Model inputs'!B39),MONTH('Model inputs'!B39),1),IF(DATE(YEAR('Model inputs'!B39),MONTH('Model inputs'!B39),1)="","",DATE(2027,11,1)&lt;DATE(YEAR('Model inputs'!B39),MONTH('Model inputs'!B39),1)))="",FALSE,IF(ISERROR(DATE(2027,11,1)&lt;DATE(YEAR('Model inputs'!B39),MONTH('Model inputs'!B39),1)),DATE(2027,11,1)&lt;DATE(YEAR('Model inputs'!B39),MONTH('Model inputs'!B39),1),IF(DATE(YEAR('Model inputs'!B39),MONTH('Model inputs'!B39),1)="","",DATE(2027,11,1)&lt;DATE(YEAR('Model inputs'!B39),MONTH('Model inputs'!B39),1)))),0,IFERROR(DATEDIF(DATE(YEAR('Model inputs'!B39),MONTH('Model inputs'!B39),1),DATE(2027,11,1),"M"),0)+1)</f>
        <v>13</v>
      </c>
      <c r="R37" s="9">
        <f>IF(IF(IF(ISERROR(DATE(2027,12,1)&lt;DATE(YEAR('Model inputs'!B39),MONTH('Model inputs'!B39),1)),DATE(2027,12,1)&lt;DATE(YEAR('Model inputs'!B39),MONTH('Model inputs'!B39),1),IF(DATE(YEAR('Model inputs'!B39),MONTH('Model inputs'!B39),1)="","",DATE(2027,12,1)&lt;DATE(YEAR('Model inputs'!B39),MONTH('Model inputs'!B39),1)))="",FALSE,IF(ISERROR(DATE(2027,12,1)&lt;DATE(YEAR('Model inputs'!B39),MONTH('Model inputs'!B39),1)),DATE(2027,12,1)&lt;DATE(YEAR('Model inputs'!B39),MONTH('Model inputs'!B39),1),IF(DATE(YEAR('Model inputs'!B39),MONTH('Model inputs'!B39),1)="","",DATE(2027,12,1)&lt;DATE(YEAR('Model inputs'!B39),MONTH('Model inputs'!B39),1)))),0,IFERROR(DATEDIF(DATE(YEAR('Model inputs'!B39),MONTH('Model inputs'!B39),1),DATE(2027,12,1),"M"),0)+1)</f>
        <v>14</v>
      </c>
      <c r="S37" s="9">
        <f>IF(IF(IF(ISERROR(DATE(2028,1,1)&lt;DATE(YEAR('Model inputs'!B39),MONTH('Model inputs'!B39),1)),DATE(2028,1,1)&lt;DATE(YEAR('Model inputs'!B39),MONTH('Model inputs'!B39),1),IF(DATE(YEAR('Model inputs'!B39),MONTH('Model inputs'!B39),1)="","",DATE(2028,1,1)&lt;DATE(YEAR('Model inputs'!B39),MONTH('Model inputs'!B39),1)))="",FALSE,IF(ISERROR(DATE(2028,1,1)&lt;DATE(YEAR('Model inputs'!B39),MONTH('Model inputs'!B39),1)),DATE(2028,1,1)&lt;DATE(YEAR('Model inputs'!B39),MONTH('Model inputs'!B39),1),IF(DATE(YEAR('Model inputs'!B39),MONTH('Model inputs'!B39),1)="","",DATE(2028,1,1)&lt;DATE(YEAR('Model inputs'!B39),MONTH('Model inputs'!B39),1)))),0,IFERROR(DATEDIF(DATE(YEAR('Model inputs'!B39),MONTH('Model inputs'!B39),1),DATE(2028,1,1),"M"),0)+1)</f>
        <v>15</v>
      </c>
      <c r="T37" s="9">
        <f>IF(IF(IF(ISERROR(DATE(2028,2,1)&lt;DATE(YEAR('Model inputs'!B39),MONTH('Model inputs'!B39),1)),DATE(2028,2,1)&lt;DATE(YEAR('Model inputs'!B39),MONTH('Model inputs'!B39),1),IF(DATE(YEAR('Model inputs'!B39),MONTH('Model inputs'!B39),1)="","",DATE(2028,2,1)&lt;DATE(YEAR('Model inputs'!B39),MONTH('Model inputs'!B39),1)))="",FALSE,IF(ISERROR(DATE(2028,2,1)&lt;DATE(YEAR('Model inputs'!B39),MONTH('Model inputs'!B39),1)),DATE(2028,2,1)&lt;DATE(YEAR('Model inputs'!B39),MONTH('Model inputs'!B39),1),IF(DATE(YEAR('Model inputs'!B39),MONTH('Model inputs'!B39),1)="","",DATE(2028,2,1)&lt;DATE(YEAR('Model inputs'!B39),MONTH('Model inputs'!B39),1)))),0,IFERROR(DATEDIF(DATE(YEAR('Model inputs'!B39),MONTH('Model inputs'!B39),1),DATE(2028,2,1),"M"),0)+1)</f>
        <v>16</v>
      </c>
      <c r="U37" s="9">
        <f>IF(IF(IF(ISERROR(DATE(2028,3,1)&lt;DATE(YEAR('Model inputs'!B39),MONTH('Model inputs'!B39),1)),DATE(2028,3,1)&lt;DATE(YEAR('Model inputs'!B39),MONTH('Model inputs'!B39),1),IF(DATE(YEAR('Model inputs'!B39),MONTH('Model inputs'!B39),1)="","",DATE(2028,3,1)&lt;DATE(YEAR('Model inputs'!B39),MONTH('Model inputs'!B39),1)))="",FALSE,IF(ISERROR(DATE(2028,3,1)&lt;DATE(YEAR('Model inputs'!B39),MONTH('Model inputs'!B39),1)),DATE(2028,3,1)&lt;DATE(YEAR('Model inputs'!B39),MONTH('Model inputs'!B39),1),IF(DATE(YEAR('Model inputs'!B39),MONTH('Model inputs'!B39),1)="","",DATE(2028,3,1)&lt;DATE(YEAR('Model inputs'!B39),MONTH('Model inputs'!B39),1)))),0,IFERROR(DATEDIF(DATE(YEAR('Model inputs'!B39),MONTH('Model inputs'!B39),1),DATE(2028,3,1),"M"),0)+1)</f>
        <v>17</v>
      </c>
      <c r="V37" s="9">
        <f>IF(IF(IF(ISERROR(DATE(2028,4,1)&lt;DATE(YEAR('Model inputs'!B39),MONTH('Model inputs'!B39),1)),DATE(2028,4,1)&lt;DATE(YEAR('Model inputs'!B39),MONTH('Model inputs'!B39),1),IF(DATE(YEAR('Model inputs'!B39),MONTH('Model inputs'!B39),1)="","",DATE(2028,4,1)&lt;DATE(YEAR('Model inputs'!B39),MONTH('Model inputs'!B39),1)))="",FALSE,IF(ISERROR(DATE(2028,4,1)&lt;DATE(YEAR('Model inputs'!B39),MONTH('Model inputs'!B39),1)),DATE(2028,4,1)&lt;DATE(YEAR('Model inputs'!B39),MONTH('Model inputs'!B39),1),IF(DATE(YEAR('Model inputs'!B39),MONTH('Model inputs'!B39),1)="","",DATE(2028,4,1)&lt;DATE(YEAR('Model inputs'!B39),MONTH('Model inputs'!B39),1)))),0,IFERROR(DATEDIF(DATE(YEAR('Model inputs'!B39),MONTH('Model inputs'!B39),1),DATE(2028,4,1),"M"),0)+1)</f>
        <v>18</v>
      </c>
      <c r="W37" s="9">
        <f>IF(IF(IF(ISERROR(DATE(2028,5,1)&lt;DATE(YEAR('Model inputs'!B39),MONTH('Model inputs'!B39),1)),DATE(2028,5,1)&lt;DATE(YEAR('Model inputs'!B39),MONTH('Model inputs'!B39),1),IF(DATE(YEAR('Model inputs'!B39),MONTH('Model inputs'!B39),1)="","",DATE(2028,5,1)&lt;DATE(YEAR('Model inputs'!B39),MONTH('Model inputs'!B39),1)))="",FALSE,IF(ISERROR(DATE(2028,5,1)&lt;DATE(YEAR('Model inputs'!B39),MONTH('Model inputs'!B39),1)),DATE(2028,5,1)&lt;DATE(YEAR('Model inputs'!B39),MONTH('Model inputs'!B39),1),IF(DATE(YEAR('Model inputs'!B39),MONTH('Model inputs'!B39),1)="","",DATE(2028,5,1)&lt;DATE(YEAR('Model inputs'!B39),MONTH('Model inputs'!B39),1)))),0,IFERROR(DATEDIF(DATE(YEAR('Model inputs'!B39),MONTH('Model inputs'!B39),1),DATE(2028,5,1),"M"),0)+1)</f>
        <v>19</v>
      </c>
      <c r="X37" s="9">
        <f>IF(IF(IF(ISERROR(DATE(2028,6,1)&lt;DATE(YEAR('Model inputs'!B39),MONTH('Model inputs'!B39),1)),DATE(2028,6,1)&lt;DATE(YEAR('Model inputs'!B39),MONTH('Model inputs'!B39),1),IF(DATE(YEAR('Model inputs'!B39),MONTH('Model inputs'!B39),1)="","",DATE(2028,6,1)&lt;DATE(YEAR('Model inputs'!B39),MONTH('Model inputs'!B39),1)))="",FALSE,IF(ISERROR(DATE(2028,6,1)&lt;DATE(YEAR('Model inputs'!B39),MONTH('Model inputs'!B39),1)),DATE(2028,6,1)&lt;DATE(YEAR('Model inputs'!B39),MONTH('Model inputs'!B39),1),IF(DATE(YEAR('Model inputs'!B39),MONTH('Model inputs'!B39),1)="","",DATE(2028,6,1)&lt;DATE(YEAR('Model inputs'!B39),MONTH('Model inputs'!B39),1)))),0,IFERROR(DATEDIF(DATE(YEAR('Model inputs'!B39),MONTH('Model inputs'!B39),1),DATE(2028,6,1),"M"),0)+1)</f>
        <v>20</v>
      </c>
      <c r="Y37" s="9">
        <f>IF(IF(IF(ISERROR(DATE(2028,7,1)&lt;DATE(YEAR('Model inputs'!B39),MONTH('Model inputs'!B39),1)),DATE(2028,7,1)&lt;DATE(YEAR('Model inputs'!B39),MONTH('Model inputs'!B39),1),IF(DATE(YEAR('Model inputs'!B39),MONTH('Model inputs'!B39),1)="","",DATE(2028,7,1)&lt;DATE(YEAR('Model inputs'!B39),MONTH('Model inputs'!B39),1)))="",FALSE,IF(ISERROR(DATE(2028,7,1)&lt;DATE(YEAR('Model inputs'!B39),MONTH('Model inputs'!B39),1)),DATE(2028,7,1)&lt;DATE(YEAR('Model inputs'!B39),MONTH('Model inputs'!B39),1),IF(DATE(YEAR('Model inputs'!B39),MONTH('Model inputs'!B39),1)="","",DATE(2028,7,1)&lt;DATE(YEAR('Model inputs'!B39),MONTH('Model inputs'!B39),1)))),0,IFERROR(DATEDIF(DATE(YEAR('Model inputs'!B39),MONTH('Model inputs'!B39),1),DATE(2028,7,1),"M"),0)+1)</f>
        <v>21</v>
      </c>
      <c r="Z37" s="9">
        <f>IF(IF(IF(ISERROR(DATE(2028,8,1)&lt;DATE(YEAR('Model inputs'!B39),MONTH('Model inputs'!B39),1)),DATE(2028,8,1)&lt;DATE(YEAR('Model inputs'!B39),MONTH('Model inputs'!B39),1),IF(DATE(YEAR('Model inputs'!B39),MONTH('Model inputs'!B39),1)="","",DATE(2028,8,1)&lt;DATE(YEAR('Model inputs'!B39),MONTH('Model inputs'!B39),1)))="",FALSE,IF(ISERROR(DATE(2028,8,1)&lt;DATE(YEAR('Model inputs'!B39),MONTH('Model inputs'!B39),1)),DATE(2028,8,1)&lt;DATE(YEAR('Model inputs'!B39),MONTH('Model inputs'!B39),1),IF(DATE(YEAR('Model inputs'!B39),MONTH('Model inputs'!B39),1)="","",DATE(2028,8,1)&lt;DATE(YEAR('Model inputs'!B39),MONTH('Model inputs'!B39),1)))),0,IFERROR(DATEDIF(DATE(YEAR('Model inputs'!B39),MONTH('Model inputs'!B39),1),DATE(2028,8,1),"M"),0)+1)</f>
        <v>22</v>
      </c>
      <c r="AA37" s="9">
        <f>IF(IF(IF(ISERROR(DATE(2028,9,1)&lt;DATE(YEAR('Model inputs'!B39),MONTH('Model inputs'!B39),1)),DATE(2028,9,1)&lt;DATE(YEAR('Model inputs'!B39),MONTH('Model inputs'!B39),1),IF(DATE(YEAR('Model inputs'!B39),MONTH('Model inputs'!B39),1)="","",DATE(2028,9,1)&lt;DATE(YEAR('Model inputs'!B39),MONTH('Model inputs'!B39),1)))="",FALSE,IF(ISERROR(DATE(2028,9,1)&lt;DATE(YEAR('Model inputs'!B39),MONTH('Model inputs'!B39),1)),DATE(2028,9,1)&lt;DATE(YEAR('Model inputs'!B39),MONTH('Model inputs'!B39),1),IF(DATE(YEAR('Model inputs'!B39),MONTH('Model inputs'!B39),1)="","",DATE(2028,9,1)&lt;DATE(YEAR('Model inputs'!B39),MONTH('Model inputs'!B39),1)))),0,IFERROR(DATEDIF(DATE(YEAR('Model inputs'!B39),MONTH('Model inputs'!B39),1),DATE(2028,9,1),"M"),0)+1)</f>
        <v>23</v>
      </c>
      <c r="AB37" s="9">
        <v>0</v>
      </c>
    </row>
    <row r="38">
      <c r="A38" t="inlineStr" s="15">
        <is>
          <t xml:space="preserve">Volume vs $0.34 price · Jobs attempted · Cash &amp; runway</t>
        </is>
      </c>
      <c r="B38" s="9">
        <f>1</f>
        <v>1</v>
      </c>
    </row>
    <row r="39">
      <c r="A39" t="inlineStr" s="15">
        <is>
          <t xml:space="preserve">Launch month · Months since launch · Cash &amp; runway</t>
        </is>
      </c>
      <c r="B39" s="17">
        <f>DATE(2026,11,1)</f>
        <v>46327</v>
      </c>
    </row>
    <row r="41">
      <c r="A41" t="inlineStr" s="14">
        <is>
          <t xml:space="preserve">Dimensions</t>
        </is>
      </c>
    </row>
    <row r="42">
      <c r="A42" t="inlineStr" s="15">
        <is>
          <t xml:space="preserve">Cost line</t>
        </is>
      </c>
      <c r="B42" t="inlineStr" s="18">
        <is>
          <t xml:space="preserve">Accounting, legal &amp; misc</t>
        </is>
      </c>
      <c r="C42" t="inlineStr" s="18">
        <is>
          <t xml:space="preserve">Hosting</t>
        </is>
      </c>
      <c r="D42" t="inlineStr" s="18">
        <is>
          <t xml:space="preserve">Observability</t>
        </is>
      </c>
      <c r="E42" t="inlineStr" s="18">
        <is>
          <t xml:space="preserve">Tooling &amp; misc</t>
        </is>
      </c>
    </row>
  </sheetData>
  <mergeCells count="2">
    <mergeCell ref="A1:AB1"/>
    <mergeCell ref="A2:AB2"/>
  </mergeCells>
</worksheet>
</file>